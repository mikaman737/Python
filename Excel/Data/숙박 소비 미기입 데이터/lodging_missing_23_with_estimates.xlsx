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누락의심_추정포함" sheetId="1" r:id="rId5"/>
    <sheet state="visible" name="추정벤치마크" sheetId="2" r:id="rId6"/>
    <sheet state="visible" name="추정_방법과_한계" sheetId="3" r:id="rId7"/>
  </sheets>
  <definedNames>
    <definedName hidden="1" localSheetId="0" name="_xlnm._FilterDatabase">'누락의심_추정포함'!$A$5:$AD$28</definedName>
  </definedNames>
  <calcPr/>
</workbook>
</file>

<file path=xl/sharedStrings.xml><?xml version="1.0" encoding="utf-8"?>
<sst xmlns="http://schemas.openxmlformats.org/spreadsheetml/2006/main" count="479" uniqueCount="334">
  <si>
    <t>숙박비 추정 방법과 한계</t>
  </si>
  <si>
    <r>
      <rPr>
        <rFont val="Noto Sans CJK SC"/>
        <b/>
        <color theme="1"/>
        <sz val="13.0"/>
      </rPr>
      <t xml:space="preserve">숙박소비 누락 의심 </t>
    </r>
    <r>
      <rPr>
        <rFont val="Arial"/>
        <b/>
        <color theme="1"/>
        <sz val="13.0"/>
      </rPr>
      <t>23</t>
    </r>
    <r>
      <rPr>
        <rFont val="Noto Sans CJK SC"/>
        <b/>
        <color theme="1"/>
        <sz val="13.0"/>
      </rPr>
      <t xml:space="preserve">건 </t>
    </r>
    <r>
      <rPr>
        <rFont val="Arial"/>
        <b/>
        <color theme="1"/>
        <sz val="13.0"/>
      </rPr>
      <t xml:space="preserve">+ </t>
    </r>
    <r>
      <rPr>
        <rFont val="Noto Sans CJK SC"/>
        <b/>
        <color theme="1"/>
        <sz val="13.0"/>
      </rPr>
      <t>데이터 기반 숙박비 추정치</t>
    </r>
  </si>
  <si>
    <r>
      <rPr>
        <rFont val="Noto Sans CJK SC"/>
        <b/>
        <color theme="1"/>
        <sz val="12.0"/>
      </rPr>
      <t>추정 벤치마크</t>
    </r>
    <r>
      <rPr>
        <rFont val="Arial"/>
        <b/>
        <color theme="1"/>
        <sz val="12.0"/>
      </rPr>
      <t xml:space="preserve">: </t>
    </r>
    <r>
      <rPr>
        <rFont val="Noto Sans CJK SC"/>
        <b/>
        <color theme="1"/>
        <sz val="12.0"/>
      </rPr>
      <t xml:space="preserve">숙박유형 </t>
    </r>
    <r>
      <rPr>
        <rFont val="Arial"/>
        <b/>
        <color theme="1"/>
        <sz val="12.0"/>
      </rPr>
      <t xml:space="preserve">× </t>
    </r>
    <r>
      <rPr>
        <rFont val="Noto Sans CJK SC"/>
        <b/>
        <color theme="1"/>
        <sz val="12.0"/>
      </rPr>
      <t xml:space="preserve">총인원구간별 </t>
    </r>
    <r>
      <rPr>
        <rFont val="Arial"/>
        <b/>
        <color theme="1"/>
        <sz val="12.0"/>
      </rPr>
      <t>'</t>
    </r>
    <r>
      <rPr>
        <rFont val="Noto Sans CJK SC"/>
        <b/>
        <color theme="1"/>
        <sz val="12.0"/>
      </rPr>
      <t>박당 숙박비</t>
    </r>
    <r>
      <rPr>
        <rFont val="Arial"/>
        <b/>
        <color theme="1"/>
        <sz val="12.0"/>
      </rPr>
      <t>' (</t>
    </r>
    <r>
      <rPr>
        <rFont val="Noto Sans CJK SC"/>
        <b/>
        <color theme="1"/>
        <sz val="12.0"/>
      </rPr>
      <t xml:space="preserve">학습셋 </t>
    </r>
    <r>
      <rPr>
        <rFont val="Arial"/>
        <b/>
        <color theme="1"/>
        <sz val="12.0"/>
      </rPr>
      <t>687</t>
    </r>
    <r>
      <rPr>
        <rFont val="Noto Sans CJK SC"/>
        <b/>
        <color theme="1"/>
        <sz val="12.0"/>
      </rPr>
      <t>건</t>
    </r>
    <r>
      <rPr>
        <rFont val="Arial"/>
        <b/>
        <color theme="1"/>
        <sz val="12.0"/>
      </rPr>
      <t>)</t>
    </r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</si>
  <si>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중요</t>
    </r>
    <r>
      <rPr>
        <rFont val="Arial"/>
        <b/>
        <color rgb="FFC00000"/>
        <sz val="10.0"/>
      </rPr>
      <t xml:space="preserve">] </t>
    </r>
    <r>
      <rPr>
        <rFont val="Noto Sans CJK SC"/>
        <b/>
        <color rgb="FFC00000"/>
        <sz val="10.0"/>
      </rPr>
      <t>이 추정치는 실측값이 아닙니다</t>
    </r>
  </si>
  <si>
    <r>
      <rPr>
        <rFont val="Noto Sans CJK SC"/>
        <b/>
        <color rgb="FFC00000"/>
        <sz val="10.0"/>
      </rPr>
      <t xml:space="preserve">★ 주황색 컬럼은 실측값이 아닌 </t>
    </r>
    <r>
      <rPr>
        <rFont val="Arial"/>
        <b/>
        <color rgb="FFC00000"/>
        <sz val="10.0"/>
      </rPr>
      <t>'</t>
    </r>
    <r>
      <rPr>
        <rFont val="Noto Sans CJK SC"/>
        <b/>
        <color rgb="FFC00000"/>
        <sz val="10.0"/>
      </rPr>
      <t>추정치</t>
    </r>
    <r>
      <rPr>
        <rFont val="Arial"/>
        <b/>
        <color rgb="FFC00000"/>
        <sz val="10.0"/>
      </rPr>
      <t>'</t>
    </r>
    <r>
      <rPr>
        <rFont val="Noto Sans CJK SC"/>
        <b/>
        <color rgb="FFC00000"/>
        <sz val="10.0"/>
      </rPr>
      <t>입니다</t>
    </r>
    <r>
      <rPr>
        <rFont val="Arial"/>
        <b/>
        <color rgb="FFC00000"/>
        <sz val="10.0"/>
      </rPr>
      <t xml:space="preserve">. </t>
    </r>
    <r>
      <rPr>
        <rFont val="Noto Sans CJK SC"/>
        <b/>
        <color rgb="FFC00000"/>
        <sz val="10.0"/>
      </rPr>
      <t>대시보드 확정 지표로 쓰지 말고 민감도 분석에만 사용하세요</t>
    </r>
    <r>
      <rPr>
        <rFont val="Arial"/>
        <b/>
        <color rgb="FFC00000"/>
        <sz val="10.0"/>
      </rPr>
      <t>.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</si>
  <si>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팀 규칙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데이터에 없는 사실은 지어내지 말 것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에 정면으로 걸리는 작업입니다</t>
    </r>
    <r>
      <rPr>
        <rFont val="Arial"/>
        <color theme="1"/>
        <sz val="10.0"/>
      </rPr>
      <t>.</t>
    </r>
  </si>
  <si>
    <r>
      <rPr>
        <rFont val="Noto Sans CJK SC"/>
        <color rgb="FF595959"/>
        <sz val="9.0"/>
      </rPr>
      <t>추정 산식</t>
    </r>
    <r>
      <rPr>
        <rFont val="Arial"/>
        <color rgb="FF595959"/>
        <sz val="9.0"/>
      </rPr>
      <t xml:space="preserve">: </t>
    </r>
    <r>
      <rPr>
        <rFont val="Noto Sans CJK SC"/>
        <color rgb="FF595959"/>
        <sz val="9.0"/>
      </rPr>
      <t xml:space="preserve">숙박결제 있는 </t>
    </r>
    <r>
      <rPr>
        <rFont val="Arial"/>
        <color rgb="FF595959"/>
        <sz val="9.0"/>
      </rPr>
      <t>1</t>
    </r>
    <r>
      <rPr>
        <rFont val="Noto Sans CJK SC"/>
        <color rgb="FF595959"/>
        <sz val="9.0"/>
      </rPr>
      <t>박</t>
    </r>
    <r>
      <rPr>
        <rFont val="Arial"/>
        <color rgb="FF595959"/>
        <sz val="9.0"/>
      </rPr>
      <t xml:space="preserve">+ </t>
    </r>
    <r>
      <rPr>
        <rFont val="Noto Sans CJK SC"/>
        <color rgb="FF595959"/>
        <sz val="9.0"/>
      </rPr>
      <t xml:space="preserve">여행 </t>
    </r>
    <r>
      <rPr>
        <rFont val="Arial"/>
        <color rgb="FF595959"/>
        <sz val="9.0"/>
      </rPr>
      <t>687</t>
    </r>
    <r>
      <rPr>
        <rFont val="Noto Sans CJK SC"/>
        <color rgb="FF595959"/>
        <sz val="9.0"/>
      </rPr>
      <t xml:space="preserve">건에서 </t>
    </r>
    <r>
      <rPr>
        <rFont val="Arial"/>
        <color rgb="FF595959"/>
        <sz val="9.0"/>
      </rPr>
      <t>(</t>
    </r>
    <r>
      <rPr>
        <rFont val="Noto Sans CJK SC"/>
        <color rgb="FF595959"/>
        <sz val="9.0"/>
      </rPr>
      <t xml:space="preserve">숙박유형 </t>
    </r>
    <r>
      <rPr>
        <rFont val="Arial"/>
        <color rgb="FF595959"/>
        <sz val="9.0"/>
      </rPr>
      <t xml:space="preserve">× </t>
    </r>
    <r>
      <rPr>
        <rFont val="Noto Sans CJK SC"/>
        <color rgb="FF595959"/>
        <sz val="9.0"/>
      </rPr>
      <t>총인원구간</t>
    </r>
    <r>
      <rPr>
        <rFont val="Arial"/>
        <color rgb="FF595959"/>
        <sz val="9.0"/>
      </rPr>
      <t>)</t>
    </r>
    <r>
      <rPr>
        <rFont val="Noto Sans CJK SC"/>
        <color rgb="FF595959"/>
        <sz val="9.0"/>
      </rPr>
      <t xml:space="preserve">별 박당 숙박비 중앙값 → </t>
    </r>
    <r>
      <rPr>
        <rFont val="Arial"/>
        <color rgb="FF595959"/>
        <sz val="9.0"/>
      </rPr>
      <t xml:space="preserve">× </t>
    </r>
    <r>
      <rPr>
        <rFont val="Noto Sans CJK SC"/>
        <color rgb="FF595959"/>
        <sz val="9.0"/>
      </rPr>
      <t>박수</t>
    </r>
    <r>
      <rPr>
        <rFont val="Arial"/>
        <color rgb="FF595959"/>
        <sz val="9.0"/>
      </rPr>
      <t xml:space="preserve">. </t>
    </r>
    <r>
      <rPr>
        <rFont val="Noto Sans CJK SC"/>
        <color rgb="FF595959"/>
        <sz val="9.0"/>
      </rPr>
      <t xml:space="preserve">셀 표본 </t>
    </r>
    <r>
      <rPr>
        <rFont val="Arial"/>
        <color rgb="FF595959"/>
        <sz val="9.0"/>
      </rPr>
      <t>n&lt;5</t>
    </r>
    <r>
      <rPr>
        <rFont val="Noto Sans CJK SC"/>
        <color rgb="FF595959"/>
        <sz val="9.0"/>
      </rPr>
      <t>면 유형 전체 중앙값으로 대체</t>
    </r>
    <r>
      <rPr>
        <rFont val="Arial"/>
        <color rgb="FF595959"/>
        <sz val="9.0"/>
      </rPr>
      <t>.</t>
    </r>
  </si>
  <si>
    <r>
      <rPr>
        <rFont val="Noto Sans CJK SC"/>
        <color rgb="FF595959"/>
        <sz val="9.0"/>
      </rPr>
      <t xml:space="preserve">학습셋 </t>
    </r>
    <r>
      <rPr>
        <rFont val="Arial"/>
        <color rgb="FF595959"/>
        <sz val="9.0"/>
      </rPr>
      <t xml:space="preserve">= </t>
    </r>
    <r>
      <rPr>
        <rFont val="Noto Sans CJK SC"/>
        <color rgb="FF595959"/>
        <sz val="9.0"/>
      </rPr>
      <t xml:space="preserve">숙박결제 </t>
    </r>
    <r>
      <rPr>
        <rFont val="Arial"/>
        <color rgb="FF595959"/>
        <sz val="9.0"/>
      </rPr>
      <t>&gt;0</t>
    </r>
    <r>
      <rPr>
        <rFont val="Noto Sans CJK SC"/>
        <color rgb="FF595959"/>
        <sz val="9.0"/>
      </rPr>
      <t xml:space="preserve">원 </t>
    </r>
    <r>
      <rPr>
        <rFont val="Arial"/>
        <color rgb="FF595959"/>
        <sz val="9.0"/>
      </rPr>
      <t xml:space="preserve">&amp; </t>
    </r>
    <r>
      <rPr>
        <rFont val="Noto Sans CJK SC"/>
        <color rgb="FF595959"/>
        <sz val="9.0"/>
      </rPr>
      <t>박수</t>
    </r>
    <r>
      <rPr>
        <rFont val="Arial"/>
        <color rgb="FF595959"/>
        <sz val="9.0"/>
      </rPr>
      <t xml:space="preserve">&gt;=1 &amp; </t>
    </r>
    <r>
      <rPr>
        <rFont val="Noto Sans CJK SC"/>
        <color rgb="FF595959"/>
        <sz val="9.0"/>
      </rPr>
      <t xml:space="preserve">숙박유형 확인 가능한 여행 </t>
    </r>
    <r>
      <rPr>
        <rFont val="Arial"/>
        <color rgb="FF595959"/>
        <sz val="9.0"/>
      </rPr>
      <t>687</t>
    </r>
    <r>
      <rPr>
        <rFont val="Noto Sans CJK SC"/>
        <color rgb="FF595959"/>
        <sz val="9.0"/>
      </rPr>
      <t xml:space="preserve">건 </t>
    </r>
    <r>
      <rPr>
        <rFont val="Arial"/>
        <color rgb="FF595959"/>
        <sz val="9.0"/>
      </rPr>
      <t>(</t>
    </r>
    <r>
      <rPr>
        <rFont val="Noto Sans CJK SC"/>
        <color rgb="FF595959"/>
        <sz val="9.0"/>
      </rPr>
      <t xml:space="preserve">전체 </t>
    </r>
    <r>
      <rPr>
        <rFont val="Arial"/>
        <color rgb="FF595959"/>
        <sz val="9.0"/>
      </rPr>
      <t>2,880</t>
    </r>
    <r>
      <rPr>
        <rFont val="Noto Sans CJK SC"/>
        <color rgb="FF595959"/>
        <sz val="9.0"/>
      </rPr>
      <t xml:space="preserve">건 중 </t>
    </r>
    <r>
      <rPr>
        <rFont val="Arial"/>
        <color rgb="FF595959"/>
        <sz val="9.0"/>
      </rPr>
      <t>23.9%)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</si>
  <si>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대시보드의 확정 </t>
    </r>
    <r>
      <rPr>
        <rFont val="Arial"/>
        <color theme="1"/>
        <sz val="10.0"/>
      </rPr>
      <t>KPI</t>
    </r>
    <r>
      <rPr>
        <rFont val="Noto Sans CJK SC"/>
        <color theme="1"/>
        <sz val="10.0"/>
      </rPr>
      <t>나 보고서 본문 수치로 쓰지 마세요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민감도 분석 전용입니다</t>
    </r>
    <r>
      <rPr>
        <rFont val="Arial"/>
        <color theme="1"/>
        <sz val="10.0"/>
      </rPr>
      <t>.</t>
    </r>
  </si>
  <si>
    <t>판정</t>
  </si>
  <si>
    <t>유형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</si>
  <si>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원본 컬럼과 반드시 분리하고</t>
    </r>
    <r>
      <rPr>
        <rFont val="Arial"/>
        <color theme="1"/>
        <sz val="10.0"/>
      </rPr>
      <t xml:space="preserve">, IS_ESTIMATED = TRUE </t>
    </r>
    <r>
      <rPr>
        <rFont val="Noto Sans CJK SC"/>
        <color theme="1"/>
        <sz val="10.0"/>
      </rPr>
      <t>플래그를 함께 실으세요</t>
    </r>
    <r>
      <rPr>
        <rFont val="Arial"/>
        <color theme="1"/>
        <sz val="10.0"/>
      </rPr>
      <t>.</t>
    </r>
  </si>
  <si>
    <t>TRAVEL_ID</t>
  </si>
  <si>
    <t>인원구간</t>
  </si>
  <si>
    <t>TRAVELER_ID</t>
  </si>
  <si>
    <t>여행시작일</t>
  </si>
  <si>
    <t>n</t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</si>
  <si>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산식</t>
    </r>
    <r>
      <rPr>
        <rFont val="Arial"/>
        <b/>
        <color rgb="FFC00000"/>
        <sz val="10.0"/>
      </rPr>
      <t>]</t>
    </r>
  </si>
  <si>
    <t>중앙값</t>
  </si>
  <si>
    <t>Q1</t>
  </si>
  <si>
    <r>
      <rPr>
        <rFont val="Noto Sans CJK SC"/>
        <b/>
        <color rgb="FFFFFFFF"/>
        <sz val="10.0"/>
      </rPr>
      <t>여행종료일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배타</t>
    </r>
    <r>
      <rPr>
        <rFont val="Arial"/>
        <b/>
        <color rgb="FFFFFFFF"/>
        <sz val="10.0"/>
      </rPr>
      <t>)</t>
    </r>
  </si>
  <si>
    <t>Q3</t>
  </si>
  <si>
    <t>여행일수</t>
  </si>
  <si>
    <t>사용여부</t>
  </si>
  <si>
    <t>박수</t>
  </si>
  <si>
    <t>동반자수</t>
  </si>
  <si>
    <t>총인원</t>
  </si>
  <si>
    <t>숙소명</t>
  </si>
  <si>
    <t>숙박유형코드</t>
  </si>
  <si>
    <t>시도</t>
  </si>
  <si>
    <r>
      <rPr>
        <rFont val="Noto Sans CJK SC"/>
        <color theme="1"/>
        <sz val="10.0"/>
      </rPr>
      <t>가족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친지집</t>
    </r>
  </si>
  <si>
    <t>주소</t>
  </si>
  <si>
    <r>
      <rPr>
        <rFont val="Arial"/>
        <color theme="1"/>
        <sz val="10.0"/>
      </rPr>
      <t xml:space="preserve">  1) </t>
    </r>
    <r>
      <rPr>
        <rFont val="Noto Sans CJK SC"/>
        <color theme="1"/>
        <sz val="10.0"/>
      </rPr>
      <t xml:space="preserve">학습셋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숙박결제 </t>
    </r>
    <r>
      <rPr>
        <rFont val="Arial"/>
        <color theme="1"/>
        <sz val="10.0"/>
      </rPr>
      <t>&gt;0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 xml:space="preserve">AND </t>
    </r>
    <r>
      <rPr>
        <rFont val="Noto Sans CJK SC"/>
        <color theme="1"/>
        <sz val="10.0"/>
      </rPr>
      <t>박수</t>
    </r>
    <r>
      <rPr>
        <rFont val="Arial"/>
        <color theme="1"/>
        <sz val="10.0"/>
      </rPr>
      <t xml:space="preserve">&gt;=1 AND </t>
    </r>
    <r>
      <rPr>
        <rFont val="Noto Sans CJK SC"/>
        <color theme="1"/>
        <sz val="10.0"/>
      </rPr>
      <t>숙박유형</t>
    </r>
    <r>
      <rPr>
        <rFont val="Arial"/>
        <color theme="1"/>
        <sz val="10.0"/>
      </rPr>
      <t xml:space="preserve">(LODGING_TYPE_CD) </t>
    </r>
    <r>
      <rPr>
        <rFont val="Noto Sans CJK SC"/>
        <color theme="1"/>
        <sz val="10.0"/>
      </rPr>
      <t xml:space="preserve">확인 가능 → </t>
    </r>
    <r>
      <rPr>
        <rFont val="Arial"/>
        <color theme="1"/>
        <sz val="10.0"/>
      </rPr>
      <t>687</t>
    </r>
    <r>
      <rPr>
        <rFont val="Noto Sans CJK SC"/>
        <color theme="1"/>
        <sz val="10.0"/>
      </rPr>
      <t>건</t>
    </r>
  </si>
  <si>
    <r>
      <rPr>
        <rFont val="Noto Sans CJK SC"/>
        <b/>
        <color rgb="FFFFFFFF"/>
        <sz val="10.0"/>
      </rPr>
      <t>체류시간합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분</t>
    </r>
  </si>
  <si>
    <t>활동</t>
  </si>
  <si>
    <t>사전</t>
  </si>
  <si>
    <t>이동</t>
  </si>
  <si>
    <t>총소비</t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</si>
  <si>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</si>
  <si>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인당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숙박제외소비</t>
    </r>
  </si>
  <si>
    <r>
      <rPr>
        <rFont val="Arial"/>
        <color theme="1"/>
        <sz val="10.0"/>
      </rPr>
      <t xml:space="preserve">  2) </t>
    </r>
    <r>
      <rPr>
        <rFont val="Noto Sans CJK SC"/>
        <color theme="1"/>
        <sz val="10.0"/>
      </rPr>
      <t xml:space="preserve">박당 숙박비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여행별 숙박결제 합계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박수</t>
    </r>
  </si>
  <si>
    <t>추정근거셀</t>
  </si>
  <si>
    <r>
      <rPr>
        <rFont val="Noto Sans CJK SC"/>
        <b/>
        <color rgb="FFFFFFFF"/>
        <sz val="10.0"/>
      </rPr>
      <t>근거표본</t>
    </r>
    <r>
      <rPr>
        <rFont val="Arial"/>
        <b/>
        <color rgb="FFFFFFFF"/>
        <sz val="10.0"/>
      </rPr>
      <t>n</t>
    </r>
  </si>
  <si>
    <t>표본부족→유형전체로 대체</t>
  </si>
  <si>
    <t>게스트하우스</t>
  </si>
  <si>
    <r>
      <rPr>
        <rFont val="Noto Sans CJK SC"/>
        <b/>
        <color rgb="FFFFFFFF"/>
        <sz val="10.0"/>
      </rPr>
      <t>박당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중앙</t>
    </r>
  </si>
  <si>
    <r>
      <rPr>
        <rFont val="Arial"/>
        <color theme="1"/>
        <sz val="10.0"/>
      </rPr>
      <t xml:space="preserve">  3) (</t>
    </r>
    <r>
      <rPr>
        <rFont val="Noto Sans CJK SC"/>
        <color theme="1"/>
        <sz val="10.0"/>
      </rPr>
      <t xml:space="preserve">숙박유형 </t>
    </r>
    <r>
      <rPr>
        <rFont val="Arial"/>
        <color theme="1"/>
        <sz val="10.0"/>
      </rPr>
      <t xml:space="preserve">× </t>
    </r>
    <r>
      <rPr>
        <rFont val="Noto Sans CJK SC"/>
        <color theme="1"/>
        <sz val="10.0"/>
      </rPr>
      <t>총인원구간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셀별 박당 숙박비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중앙값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을 벤치마크로 산출 </t>
    </r>
    <r>
      <rPr>
        <rFont val="Arial"/>
        <color theme="1"/>
        <sz val="10.0"/>
      </rPr>
      <t>('</t>
    </r>
    <r>
      <rPr>
        <rFont val="Noto Sans CJK SC"/>
        <color theme="1"/>
        <sz val="10.0"/>
      </rPr>
      <t>추정벤치마크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시트</t>
    </r>
    <r>
      <rPr>
        <rFont val="Arial"/>
        <color theme="1"/>
        <sz val="10.0"/>
      </rPr>
      <t>)</t>
    </r>
  </si>
  <si>
    <t>추정숙박비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</si>
  <si>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</si>
  <si>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사용</t>
  </si>
  <si>
    <r>
      <rPr>
        <rFont val="Noto Sans CJK SC"/>
        <b/>
        <color rgb="FFFFFFFF"/>
        <sz val="10.0"/>
      </rPr>
      <t>추정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하한</t>
    </r>
    <r>
      <rPr>
        <rFont val="Arial"/>
        <b/>
        <color rgb="FFFFFFFF"/>
        <sz val="10.0"/>
      </rPr>
      <t>Q1</t>
    </r>
  </si>
  <si>
    <r>
      <rPr>
        <rFont val="Arial"/>
        <color theme="1"/>
        <sz val="10.0"/>
      </rPr>
      <t xml:space="preserve">  4) </t>
    </r>
    <r>
      <rPr>
        <rFont val="Noto Sans CJK SC"/>
        <color theme="1"/>
        <sz val="10.0"/>
      </rPr>
      <t xml:space="preserve">추정숙박비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해당 셀 중앙값 </t>
    </r>
    <r>
      <rPr>
        <rFont val="Arial"/>
        <color theme="1"/>
        <sz val="10.0"/>
      </rPr>
      <t xml:space="preserve">× </t>
    </r>
    <r>
      <rPr>
        <rFont val="Noto Sans CJK SC"/>
        <color theme="1"/>
        <sz val="10.0"/>
      </rPr>
      <t>해당 여행의 박수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</si>
  <si>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</si>
  <si>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b/>
        <color rgb="FFFFFFFF"/>
        <sz val="10.0"/>
      </rPr>
      <t>추정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상한</t>
    </r>
    <r>
      <rPr>
        <rFont val="Arial"/>
        <b/>
        <color rgb="FFFFFFFF"/>
        <sz val="10.0"/>
      </rPr>
      <t>Q3</t>
    </r>
  </si>
  <si>
    <r>
      <rPr>
        <rFont val="Noto Sans CJK SC"/>
        <b/>
        <color rgb="FFFFFFFF"/>
        <sz val="10.0"/>
      </rPr>
      <t>추정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총소비</t>
    </r>
  </si>
  <si>
    <t>GENDER</t>
  </si>
  <si>
    <t>AGE_GRP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</si>
  <si>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</si>
  <si>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t>TRAVEL_STATUS_RESIDENCE</t>
  </si>
  <si>
    <r>
      <rPr>
        <rFont val="Arial"/>
        <color theme="1"/>
        <sz val="10.0"/>
      </rPr>
      <t xml:space="preserve">  5) </t>
    </r>
    <r>
      <rPr>
        <rFont val="Noto Sans CJK SC"/>
        <color theme="1"/>
        <sz val="10.0"/>
      </rPr>
      <t xml:space="preserve">셀 표본 </t>
    </r>
    <r>
      <rPr>
        <rFont val="Arial"/>
        <color theme="1"/>
        <sz val="10.0"/>
      </rPr>
      <t xml:space="preserve">n&lt;5 </t>
    </r>
    <r>
      <rPr>
        <rFont val="Noto Sans CJK SC"/>
        <color theme="1"/>
        <sz val="10.0"/>
      </rPr>
      <t>이면 해당 숙박유형 전체 중앙값으로 대체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그것도 없으면 전체 중앙값 </t>
    </r>
    <r>
      <rPr>
        <rFont val="Arial"/>
        <color theme="1"/>
        <sz val="10.0"/>
      </rPr>
      <t>120,000</t>
    </r>
    <r>
      <rPr>
        <rFont val="Noto Sans CJK SC"/>
        <color theme="1"/>
        <sz val="10.0"/>
      </rPr>
      <t>원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</si>
  <si>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</si>
  <si>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기타</t>
  </si>
  <si>
    <t>e_e000431</t>
  </si>
  <si>
    <t>e000431</t>
  </si>
  <si>
    <t>2023-05-27</t>
  </si>
  <si>
    <t>2023-05-30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</si>
  <si>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</si>
  <si>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다둥이네 캠핑장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</si>
  <si>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</si>
  <si>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6) </t>
    </r>
    <r>
      <rPr>
        <rFont val="Noto Sans CJK SC"/>
        <color theme="1"/>
        <sz val="10.0"/>
      </rPr>
      <t>하한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상한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같은 셀의 </t>
    </r>
    <r>
      <rPr>
        <rFont val="Arial"/>
        <color theme="1"/>
        <sz val="10.0"/>
      </rPr>
      <t xml:space="preserve">Q1 / Q3 × </t>
    </r>
    <r>
      <rPr>
        <rFont val="Noto Sans CJK SC"/>
        <color theme="1"/>
        <sz val="10.0"/>
      </rPr>
      <t xml:space="preserve">박수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점추정이 아닌 구간으로 읽으세요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</si>
  <si>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</si>
  <si>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t>5</t>
  </si>
  <si>
    <t>경기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</si>
  <si>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</si>
  <si>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변수 선택 근거</t>
    </r>
    <r>
      <rPr>
        <rFont val="Arial"/>
        <b/>
        <color rgb="FFC00000"/>
        <sz val="10.0"/>
      </rPr>
      <t>]</t>
    </r>
  </si>
  <si>
    <r>
      <rPr>
        <rFont val="Noto Sans CJK SC"/>
        <color theme="1"/>
        <sz val="10.0"/>
      </rPr>
      <t xml:space="preserve">경기 가평군 북면 화악산로 </t>
    </r>
    <r>
      <rPr>
        <rFont val="Arial"/>
        <color theme="1"/>
        <sz val="10.0"/>
      </rPr>
      <t>642-18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</si>
  <si>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</si>
  <si>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</si>
  <si>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숙박유형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박당 중앙값이 모텔 </t>
    </r>
    <r>
      <rPr>
        <rFont val="Arial"/>
        <color theme="1"/>
        <sz val="10.0"/>
      </rPr>
      <t>55,000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 xml:space="preserve">~ </t>
    </r>
    <r>
      <rPr>
        <rFont val="Noto Sans CJK SC"/>
        <color theme="1"/>
        <sz val="10.0"/>
      </rPr>
      <t xml:space="preserve">전통숙박 </t>
    </r>
    <r>
      <rPr>
        <rFont val="Arial"/>
        <color theme="1"/>
        <sz val="10.0"/>
      </rPr>
      <t>286,000</t>
    </r>
    <r>
      <rPr>
        <rFont val="Noto Sans CJK SC"/>
        <color theme="1"/>
        <sz val="10.0"/>
      </rPr>
      <t xml:space="preserve">원으로 </t>
    </r>
    <r>
      <rPr>
        <rFont val="Arial"/>
        <color theme="1"/>
        <sz val="10.0"/>
      </rPr>
      <t>5.2</t>
    </r>
    <r>
      <rPr>
        <rFont val="Noto Sans CJK SC"/>
        <color theme="1"/>
        <sz val="10.0"/>
      </rPr>
      <t>배 차이 → 최우선 변수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</si>
  <si>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</si>
  <si>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</si>
  <si>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총인원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총인원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 xml:space="preserve">박당 숙박비 </t>
    </r>
    <r>
      <rPr>
        <rFont val="Arial"/>
        <color theme="1"/>
        <sz val="10.0"/>
      </rPr>
      <t>Spearman rho = 0.376 (</t>
    </r>
    <r>
      <rPr>
        <rFont val="Noto Sans CJK SC"/>
        <color theme="1"/>
        <sz val="10.0"/>
      </rPr>
      <t>양의 상관</t>
    </r>
    <r>
      <rPr>
        <rFont val="Arial"/>
        <color theme="1"/>
        <sz val="10.0"/>
      </rPr>
      <t>) → 2</t>
    </r>
    <r>
      <rPr>
        <rFont val="Noto Sans CJK SC"/>
        <color theme="1"/>
        <sz val="10.0"/>
      </rPr>
      <t>순위 변수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</si>
  <si>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</si>
  <si>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여</t>
  </si>
  <si>
    <t>경기도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</si>
  <si>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</si>
  <si>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</si>
  <si>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e_e001212</t>
  </si>
  <si>
    <t>e001212</t>
  </si>
  <si>
    <t>2023-05-29</t>
  </si>
  <si>
    <t>2023-06-01</t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</si>
  <si>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</si>
  <si>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테이크 호텔</t>
  </si>
  <si>
    <t>호텔</t>
  </si>
  <si>
    <t>1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</si>
  <si>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</si>
  <si>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 xml:space="preserve">경기 광명시 신기로 </t>
    </r>
    <r>
      <rPr>
        <rFont val="Arial"/>
        <color theme="1"/>
        <sz val="10.0"/>
      </rPr>
      <t>22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</si>
  <si>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지역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시도</t>
    </r>
    <r>
      <rPr>
        <rFont val="Arial"/>
        <color theme="1"/>
        <sz val="10.0"/>
      </rPr>
      <t xml:space="preserve">): </t>
    </r>
    <r>
      <rPr>
        <rFont val="Noto Sans CJK SC"/>
        <color theme="1"/>
        <sz val="10.0"/>
      </rPr>
      <t xml:space="preserve">경기 </t>
    </r>
    <r>
      <rPr>
        <rFont val="Arial"/>
        <color theme="1"/>
        <sz val="10.0"/>
      </rPr>
      <t xml:space="preserve">124,000 / </t>
    </r>
    <r>
      <rPr>
        <rFont val="Noto Sans CJK SC"/>
        <color theme="1"/>
        <sz val="10.0"/>
      </rPr>
      <t xml:space="preserve">서울 </t>
    </r>
    <r>
      <rPr>
        <rFont val="Arial"/>
        <color theme="1"/>
        <sz val="10.0"/>
      </rPr>
      <t xml:space="preserve">114,300 / </t>
    </r>
    <r>
      <rPr>
        <rFont val="Noto Sans CJK SC"/>
        <color theme="1"/>
        <sz val="10.0"/>
      </rPr>
      <t xml:space="preserve">인천 </t>
    </r>
    <r>
      <rPr>
        <rFont val="Arial"/>
        <color theme="1"/>
        <sz val="10.0"/>
      </rPr>
      <t>110,000</t>
    </r>
    <r>
      <rPr>
        <rFont val="Noto Sans CJK SC"/>
        <color theme="1"/>
        <sz val="10.0"/>
      </rPr>
      <t xml:space="preserve">원으로 차이가 </t>
    </r>
    <r>
      <rPr>
        <rFont val="Arial"/>
        <color theme="1"/>
        <sz val="10.0"/>
      </rPr>
      <t xml:space="preserve">12% </t>
    </r>
    <r>
      <rPr>
        <rFont val="Noto Sans CJK SC"/>
        <color theme="1"/>
        <sz val="10.0"/>
      </rPr>
      <t>이내 → 변수에서 제외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</si>
  <si>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</si>
  <si>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</si>
  <si>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</si>
  <si>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박수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박수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 xml:space="preserve">박당 숙박비 </t>
    </r>
    <r>
      <rPr>
        <rFont val="Arial"/>
        <color theme="1"/>
        <sz val="10.0"/>
      </rPr>
      <t>rho = -0.218 (</t>
    </r>
    <r>
      <rPr>
        <rFont val="Noto Sans CJK SC"/>
        <color theme="1"/>
        <sz val="10.0"/>
      </rPr>
      <t>음의 상관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이나 방향 해석이 어려워 나누기 기준으로만 사용</t>
    </r>
  </si>
  <si>
    <t>인천광역시</t>
  </si>
  <si>
    <t>민박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</si>
  <si>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</si>
  <si>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</si>
  <si>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숙소명을 쓰지 않은 이유</t>
    </r>
    <r>
      <rPr>
        <rFont val="Arial"/>
        <b/>
        <color rgb="FFC00000"/>
        <sz val="10.0"/>
      </rPr>
      <t>]</t>
    </r>
  </si>
  <si>
    <t>e_e000844</t>
  </si>
  <si>
    <t>e000844</t>
  </si>
  <si>
    <t>소피텔 앰배서더 서울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</si>
  <si>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</si>
  <si>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t>서울</t>
  </si>
  <si>
    <r>
      <rPr>
        <rFont val="Noto Sans CJK SC"/>
        <color theme="1"/>
        <sz val="10.0"/>
      </rPr>
      <t xml:space="preserve">서울 송파구 잠실로 </t>
    </r>
    <r>
      <rPr>
        <rFont val="Arial"/>
        <color theme="1"/>
        <sz val="10.0"/>
      </rPr>
      <t>209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</si>
  <si>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</si>
  <si>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</si>
  <si>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</si>
  <si>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대구광역시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</si>
  <si>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요청에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숙소명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이 있었으나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브랜드 등급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안다즈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럭셔리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모텔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이코노미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은 이 데이터에 없는 외부 지식입니다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</si>
  <si>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</si>
  <si>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e_e001251</t>
  </si>
  <si>
    <t>e001251</t>
  </si>
  <si>
    <t>2023-05-28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</si>
  <si>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외부 시세를 끌어오면 출처 검증이 불가능하고</t>
    </r>
    <r>
      <rPr>
        <rFont val="Arial"/>
        <color theme="1"/>
        <sz val="10.0"/>
      </rPr>
      <t>, 2023</t>
    </r>
    <r>
      <rPr>
        <rFont val="Noto Sans CJK SC"/>
        <color theme="1"/>
        <sz val="10.0"/>
      </rPr>
      <t>년 당시 실제 요금과 무관한 숫자가 됩니다</t>
    </r>
    <r>
      <rPr>
        <rFont val="Arial"/>
        <color theme="1"/>
        <sz val="10.0"/>
      </rPr>
      <t>.</t>
    </r>
  </si>
  <si>
    <t>더 플라자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</si>
  <si>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</si>
  <si>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서울 중구 소공로 </t>
    </r>
    <r>
      <rPr>
        <rFont val="Arial"/>
        <color theme="1"/>
        <sz val="10.0"/>
      </rPr>
      <t>119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</si>
  <si>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</si>
  <si>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숙소명은 </t>
    </r>
    <r>
      <rPr>
        <rFont val="Arial"/>
        <color theme="1"/>
        <sz val="10.0"/>
      </rPr>
      <t>LODGING_TYPE_CD(</t>
    </r>
    <r>
      <rPr>
        <rFont val="Noto Sans CJK SC"/>
        <color theme="1"/>
        <sz val="10.0"/>
      </rPr>
      <t>숙박유형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로 코드화된 범위 안에서만 반영했습니다</t>
    </r>
    <r>
      <rPr>
        <rFont val="Arial"/>
        <color theme="1"/>
        <sz val="10.0"/>
      </rPr>
      <t>.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</si>
  <si>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</si>
  <si>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</si>
  <si>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</si>
  <si>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그 결과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안다즈 서울 강남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과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켄싱턴호텔 여의도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가 동일하게 </t>
    </r>
    <r>
      <rPr>
        <rFont val="Arial"/>
        <color theme="1"/>
        <sz val="10.0"/>
      </rPr>
      <t>123,000</t>
    </r>
    <r>
      <rPr>
        <rFont val="Noto Sans CJK SC"/>
        <color theme="1"/>
        <sz val="10.0"/>
      </rPr>
      <t>원으로 추정됩니다 — 이 방법의 명백한 한계입니다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</si>
  <si>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</si>
  <si>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e_e006153</t>
  </si>
  <si>
    <t>e006153</t>
  </si>
  <si>
    <t>2023-08-18</t>
  </si>
  <si>
    <t>2023-08-20</t>
  </si>
  <si>
    <t>르컬렉티브 시흥 웨이브 파크</t>
  </si>
  <si>
    <r>
      <rPr>
        <rFont val="Arial"/>
        <b/>
        <color rgb="FFC00000"/>
        <sz val="10.0"/>
      </rPr>
      <t xml:space="preserve">[KPI </t>
    </r>
    <r>
      <rPr>
        <rFont val="Noto Sans CJK SC"/>
        <b/>
        <color rgb="FFC00000"/>
        <sz val="10.0"/>
      </rPr>
      <t xml:space="preserve">영향 </t>
    </r>
    <r>
      <rPr>
        <rFont val="Arial"/>
        <b/>
        <color rgb="FFC00000"/>
        <sz val="10.0"/>
      </rPr>
      <t xml:space="preserve">- </t>
    </r>
    <r>
      <rPr>
        <rFont val="Noto Sans CJK SC"/>
        <b/>
        <color rgb="FFC00000"/>
        <sz val="10.0"/>
      </rPr>
      <t>민감도</t>
    </r>
    <r>
      <rPr>
        <rFont val="Arial"/>
        <b/>
        <color rgb="FFC00000"/>
        <sz val="10.0"/>
      </rPr>
      <t>]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</si>
  <si>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</si>
  <si>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t>4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</si>
  <si>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</si>
  <si>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경기 시흥시 거북섬로 </t>
    </r>
    <r>
      <rPr>
        <rFont val="Arial"/>
        <color theme="1"/>
        <sz val="10.0"/>
      </rPr>
      <t>135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</si>
  <si>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</si>
  <si>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t>자연휴양림내 시설</t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</si>
  <si>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</si>
  <si>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전체 </t>
    </r>
    <r>
      <rPr>
        <rFont val="Arial"/>
        <color theme="1"/>
        <sz val="10.0"/>
      </rPr>
      <t>2,880</t>
    </r>
    <r>
      <rPr>
        <rFont val="Noto Sans CJK SC"/>
        <color theme="1"/>
        <sz val="10.0"/>
      </rPr>
      <t>건 총소비 중앙값</t>
    </r>
    <r>
      <rPr>
        <rFont val="Arial"/>
        <color theme="1"/>
        <sz val="10.0"/>
      </rPr>
      <t>: 145,250</t>
    </r>
    <r>
      <rPr>
        <rFont val="Noto Sans CJK SC"/>
        <color theme="1"/>
        <sz val="10.0"/>
      </rPr>
      <t xml:space="preserve">원 → </t>
    </r>
    <r>
      <rPr>
        <rFont val="Arial"/>
        <color theme="1"/>
        <sz val="10.0"/>
      </rPr>
      <t>146,000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>(+750</t>
    </r>
    <r>
      <rPr>
        <rFont val="Noto Sans CJK SC"/>
        <color theme="1"/>
        <sz val="10.0"/>
      </rPr>
      <t>원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</si>
  <si>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</si>
  <si>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t>남</t>
  </si>
  <si>
    <t>서울특별시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</si>
  <si>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</si>
  <si>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</si>
  <si>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전체 </t>
    </r>
    <r>
      <rPr>
        <rFont val="Arial"/>
        <color theme="1"/>
        <sz val="10.0"/>
      </rPr>
      <t>2,880</t>
    </r>
    <r>
      <rPr>
        <rFont val="Noto Sans CJK SC"/>
        <color theme="1"/>
        <sz val="10.0"/>
      </rPr>
      <t xml:space="preserve">건 총소비 평균  </t>
    </r>
    <r>
      <rPr>
        <rFont val="Arial"/>
        <color theme="1"/>
        <sz val="10.0"/>
      </rPr>
      <t>: 236,791</t>
    </r>
    <r>
      <rPr>
        <rFont val="Noto Sans CJK SC"/>
        <color theme="1"/>
        <sz val="10.0"/>
      </rPr>
      <t xml:space="preserve">원 → </t>
    </r>
    <r>
      <rPr>
        <rFont val="Arial"/>
        <color theme="1"/>
        <sz val="10.0"/>
      </rPr>
      <t>237,749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>(+958</t>
    </r>
    <r>
      <rPr>
        <rFont val="Noto Sans CJK SC"/>
        <color theme="1"/>
        <sz val="10.0"/>
      </rPr>
      <t>원</t>
    </r>
    <r>
      <rPr>
        <rFont val="Arial"/>
        <color theme="1"/>
        <sz val="10.0"/>
      </rPr>
      <t>, +0.40%)</t>
    </r>
  </si>
  <si>
    <t>e_e002756</t>
  </si>
  <si>
    <t>e002756</t>
  </si>
  <si>
    <t>2023-06-16</t>
  </si>
  <si>
    <t>2023-06-18</t>
  </si>
  <si>
    <t>펜션 아리</t>
  </si>
  <si>
    <t>펜션</t>
  </si>
  <si>
    <t>3</t>
  </si>
  <si>
    <r>
      <rPr>
        <rFont val="Arial"/>
        <color theme="1"/>
        <sz val="10.0"/>
      </rPr>
      <t xml:space="preserve">  · 1</t>
    </r>
    <r>
      <rPr>
        <rFont val="Noto Sans CJK SC"/>
        <color theme="1"/>
        <sz val="10.0"/>
      </rPr>
      <t>박</t>
    </r>
    <r>
      <rPr>
        <rFont val="Arial"/>
        <color theme="1"/>
        <sz val="10.0"/>
      </rPr>
      <t>+ 945</t>
    </r>
    <r>
      <rPr>
        <rFont val="Noto Sans CJK SC"/>
        <color theme="1"/>
        <sz val="10.0"/>
      </rPr>
      <t xml:space="preserve">건 총소비 중앙값  </t>
    </r>
    <r>
      <rPr>
        <rFont val="Arial"/>
        <color theme="1"/>
        <sz val="10.0"/>
      </rPr>
      <t>: 353,090</t>
    </r>
    <r>
      <rPr>
        <rFont val="Noto Sans CJK SC"/>
        <color theme="1"/>
        <sz val="10.0"/>
      </rPr>
      <t xml:space="preserve">원 → </t>
    </r>
    <r>
      <rPr>
        <rFont val="Arial"/>
        <color theme="1"/>
        <sz val="10.0"/>
      </rPr>
      <t>354,700</t>
    </r>
    <r>
      <rPr>
        <rFont val="Noto Sans CJK SC"/>
        <color theme="1"/>
        <sz val="10.0"/>
      </rPr>
      <t>원</t>
    </r>
  </si>
  <si>
    <r>
      <rPr>
        <rFont val="Noto Sans CJK SC"/>
        <color theme="1"/>
        <sz val="10.0"/>
      </rPr>
      <t xml:space="preserve">경기 가평군 북면 꽃넘이길 </t>
    </r>
    <r>
      <rPr>
        <rFont val="Arial"/>
        <color theme="1"/>
        <sz val="10.0"/>
      </rPr>
      <t>15-56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</si>
  <si>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</si>
  <si>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>펜션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</si>
  <si>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보정 총액 </t>
    </r>
    <r>
      <rPr>
        <rFont val="Arial"/>
        <color theme="1"/>
        <sz val="10.0"/>
      </rPr>
      <t>2,759,210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결론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추정치를 넣든 안 넣든 전체 </t>
    </r>
    <r>
      <rPr>
        <rFont val="Arial"/>
        <color theme="1"/>
        <sz val="10.0"/>
      </rPr>
      <t>KPI</t>
    </r>
    <r>
      <rPr>
        <rFont val="Noto Sans CJK SC"/>
        <color theme="1"/>
        <sz val="10.0"/>
      </rPr>
      <t>는 사실상 변하지 않음</t>
    </r>
  </si>
  <si>
    <t>전통 숙박시설</t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</si>
  <si>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한계</t>
    </r>
    <r>
      <rPr>
        <rFont val="Arial"/>
        <b/>
        <color rgb="FFC00000"/>
        <sz val="10.0"/>
      </rPr>
      <t>]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</si>
  <si>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</si>
  <si>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</si>
  <si>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t>e_e002251</t>
  </si>
  <si>
    <t>e002251</t>
  </si>
  <si>
    <t>2023-06-09</t>
  </si>
  <si>
    <t>2023-06-11</t>
  </si>
  <si>
    <t>토실이네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</si>
  <si>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</si>
  <si>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경기 남양주시 진접읍 광릉수목원로</t>
    </r>
    <r>
      <rPr>
        <rFont val="Arial"/>
        <color theme="1"/>
        <sz val="10.0"/>
      </rPr>
      <t>186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49</t>
    </r>
  </si>
  <si>
    <r>
      <rPr>
        <rFont val="Arial"/>
        <color theme="1"/>
        <sz val="10.0"/>
      </rPr>
      <t xml:space="preserve">  · 22</t>
    </r>
    <r>
      <rPr>
        <rFont val="Noto Sans CJK SC"/>
        <color theme="1"/>
        <sz val="10.0"/>
      </rPr>
      <t xml:space="preserve">건 중 절반 이상이 표본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건 미만 셀에 의존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게스트하우스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 xml:space="preserve">인 </t>
    </r>
    <r>
      <rPr>
        <rFont val="Arial"/>
        <color theme="1"/>
        <sz val="10.0"/>
      </rPr>
      <t xml:space="preserve">n=12, </t>
    </r>
    <r>
      <rPr>
        <rFont val="Noto Sans CJK SC"/>
        <color theme="1"/>
        <sz val="10.0"/>
      </rPr>
      <t>자연휴양림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 xml:space="preserve">인 </t>
    </r>
    <r>
      <rPr>
        <rFont val="Arial"/>
        <color theme="1"/>
        <sz val="10.0"/>
      </rPr>
      <t xml:space="preserve">n=5 </t>
    </r>
    <r>
      <rPr>
        <rFont val="Noto Sans CJK SC"/>
        <color theme="1"/>
        <sz val="10.0"/>
      </rPr>
      <t>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</si>
  <si>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펜션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</si>
  <si>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</si>
  <si>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중앙값 대입은 분산을 인위적으로 </t>
    </r>
    <r>
      <rPr>
        <rFont val="Arial"/>
        <color theme="1"/>
        <sz val="10.0"/>
      </rPr>
      <t>0</t>
    </r>
    <r>
      <rPr>
        <rFont val="Noto Sans CJK SC"/>
        <color theme="1"/>
        <sz val="10.0"/>
      </rPr>
      <t>으로 만들어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이 </t>
    </r>
    <r>
      <rPr>
        <rFont val="Arial"/>
        <color theme="1"/>
        <sz val="10.0"/>
      </rPr>
      <t>22</t>
    </r>
    <r>
      <rPr>
        <rFont val="Noto Sans CJK SC"/>
        <color theme="1"/>
        <sz val="10.0"/>
      </rPr>
      <t>건을 쓰면 소비 분포의 산포가 과소추정됩니다</t>
    </r>
    <r>
      <rPr>
        <rFont val="Arial"/>
        <color theme="1"/>
        <sz val="10.0"/>
      </rPr>
      <t>.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</si>
  <si>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</si>
  <si>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</si>
  <si>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e_e000362</t>
  </si>
  <si>
    <t>e000362</t>
  </si>
  <si>
    <t>2023-05-15</t>
  </si>
  <si>
    <t>2023-05-17</t>
  </si>
  <si>
    <r>
      <rPr>
        <rFont val="Arial"/>
        <color theme="1"/>
        <sz val="10.0"/>
      </rPr>
      <t xml:space="preserve">  · C</t>
    </r>
    <r>
      <rPr>
        <rFont val="Noto Sans CJK SC"/>
        <color theme="1"/>
        <sz val="10.0"/>
      </rPr>
      <t xml:space="preserve">등급 </t>
    </r>
    <r>
      <rPr>
        <rFont val="Arial"/>
        <color theme="1"/>
        <sz val="10.0"/>
      </rPr>
      <t>e_e002212</t>
    </r>
    <r>
      <rPr>
        <rFont val="Noto Sans CJK SC"/>
        <color theme="1"/>
        <sz val="10.0"/>
      </rPr>
      <t xml:space="preserve">는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무박 여행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응답이라 추정 자체가 부적절 → 참고용으로만 계산해 두었습니다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</si>
  <si>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</si>
  <si>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글램비글램핑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</si>
  <si>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</si>
  <si>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경기 화성시 서신면 해안길 </t>
    </r>
    <r>
      <rPr>
        <rFont val="Arial"/>
        <color theme="1"/>
        <sz val="10.0"/>
      </rPr>
      <t>64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</si>
  <si>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</si>
  <si>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</si>
  <si>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</si>
  <si>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</si>
  <si>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</si>
  <si>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t>e_e000045</t>
  </si>
  <si>
    <t>e000045</t>
  </si>
  <si>
    <t>2023-04-29</t>
  </si>
  <si>
    <t>2023-05-01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</si>
  <si>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</si>
  <si>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t>대궐 캠핑 글램핑 펜션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</si>
  <si>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</si>
  <si>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</si>
  <si>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Noto Sans CJK SC"/>
        <color theme="1"/>
        <sz val="10.0"/>
      </rPr>
      <t>경기 양주시 백석읍 기산로</t>
    </r>
    <r>
      <rPr>
        <rFont val="Arial"/>
        <color theme="1"/>
        <sz val="10.0"/>
      </rPr>
      <t>440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177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</si>
  <si>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</si>
  <si>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</si>
  <si>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</si>
  <si>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</si>
  <si>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e_e001499</t>
  </si>
  <si>
    <t>e001499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</si>
  <si>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</si>
  <si>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 xml:space="preserve">숙소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>안다즈 서울 강남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</si>
  <si>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</si>
  <si>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서울 송파구 오금로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47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</si>
  <si>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</si>
  <si>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</si>
  <si>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t>울산광역시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</si>
  <si>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</si>
  <si>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e_e002677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</si>
  <si>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</si>
  <si>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e002677</t>
  </si>
  <si>
    <t>2023-06-10</t>
  </si>
  <si>
    <t>2023-06-12</t>
  </si>
  <si>
    <t>켄싱턴호텔 여의도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</si>
  <si>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</si>
  <si>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서울 영등포구 국회대로</t>
    </r>
    <r>
      <rPr>
        <rFont val="Arial"/>
        <color theme="1"/>
        <sz val="10.0"/>
      </rPr>
      <t>76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16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</si>
  <si>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</si>
  <si>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</si>
  <si>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</si>
  <si>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e_e000339</t>
  </si>
  <si>
    <t>e000339</t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</si>
  <si>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</si>
  <si>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 xml:space="preserve">더 퍼스트 호텔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>호텔 캘리포니아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</si>
  <si>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</si>
  <si>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2,1</t>
  </si>
  <si>
    <r>
      <rPr>
        <rFont val="Noto Sans CJK SC"/>
        <color theme="1"/>
        <sz val="10.0"/>
      </rPr>
      <t xml:space="preserve">경기 동두천시 삼육사로 </t>
    </r>
    <r>
      <rPr>
        <rFont val="Arial"/>
        <color theme="1"/>
        <sz val="10.0"/>
      </rPr>
      <t>788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</si>
  <si>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</si>
  <si>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t>대전광역시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</si>
  <si>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</si>
  <si>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e_e002936</t>
  </si>
  <si>
    <t>e002936</t>
  </si>
  <si>
    <t>2023-06-23</t>
  </si>
  <si>
    <t>2023-06-25</t>
  </si>
  <si>
    <t>이비스 스타일 앰배서더 서울 강남</t>
  </si>
  <si>
    <r>
      <rPr>
        <rFont val="Noto Sans CJK SC"/>
        <color theme="1"/>
        <sz val="10.0"/>
      </rPr>
      <t xml:space="preserve">서울 강남구 삼성로 </t>
    </r>
    <r>
      <rPr>
        <rFont val="Arial"/>
        <color theme="1"/>
        <sz val="10.0"/>
      </rPr>
      <t>431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</si>
  <si>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</si>
  <si>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t>광주광역시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</si>
  <si>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</si>
  <si>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e_e000406</t>
  </si>
  <si>
    <t>e000406</t>
  </si>
  <si>
    <t>2023-05-20</t>
  </si>
  <si>
    <t>2023-05-22</t>
  </si>
  <si>
    <t>산촌 오토캠핑장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</si>
  <si>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</si>
  <si>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경기 동두천시 탑신로</t>
    </r>
    <r>
      <rPr>
        <rFont val="Arial"/>
        <color theme="1"/>
        <sz val="10.0"/>
      </rPr>
      <t>237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111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</si>
  <si>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</si>
  <si>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</si>
  <si>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e_e002141</t>
  </si>
  <si>
    <t>e002141</t>
  </si>
  <si>
    <t>2023-06-02</t>
  </si>
  <si>
    <t>2023-06-04</t>
  </si>
  <si>
    <t>노블레스 관광호텔</t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</si>
  <si>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</si>
  <si>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2</t>
  </si>
  <si>
    <r>
      <rPr>
        <rFont val="Noto Sans CJK SC"/>
        <color theme="1"/>
        <sz val="10.0"/>
      </rPr>
      <t>서울 노원구 노해로</t>
    </r>
    <r>
      <rPr>
        <rFont val="Arial"/>
        <color theme="1"/>
        <sz val="10.0"/>
      </rPr>
      <t>77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22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</si>
  <si>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</si>
  <si>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</si>
  <si>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e_e000375</t>
  </si>
  <si>
    <t>e000375</t>
  </si>
  <si>
    <t>2023-06-03</t>
  </si>
  <si>
    <t>2023-06-05</t>
  </si>
  <si>
    <t>쉬자 파크 치유의 집</t>
  </si>
  <si>
    <t>9</t>
  </si>
  <si>
    <r>
      <rPr>
        <rFont val="Noto Sans CJK SC"/>
        <color theme="1"/>
        <sz val="10.0"/>
      </rPr>
      <t xml:space="preserve">경기 양평군 양평읍 쉬자파크길 </t>
    </r>
    <r>
      <rPr>
        <rFont val="Arial"/>
        <color theme="1"/>
        <sz val="10.0"/>
      </rPr>
      <t>223</t>
    </r>
  </si>
  <si>
    <r>
      <rPr>
        <rFont val="Noto Sans CJK SC"/>
        <color theme="1"/>
        <sz val="10.0"/>
      </rPr>
      <t>자연휴양림내 시설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</si>
  <si>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</si>
  <si>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e_e001519</t>
  </si>
  <si>
    <t>e001519</t>
  </si>
  <si>
    <t>레피다 호텔</t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</si>
  <si>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</si>
  <si>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인천</t>
  </si>
  <si>
    <r>
      <rPr>
        <rFont val="Noto Sans CJK SC"/>
        <color theme="1"/>
        <sz val="10.0"/>
      </rPr>
      <t>인천 중구 연안부두로</t>
    </r>
    <r>
      <rPr>
        <rFont val="Arial"/>
        <color theme="1"/>
        <sz val="10.0"/>
      </rPr>
      <t>21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11-9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</si>
  <si>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</si>
  <si>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</si>
  <si>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e_e001301</t>
  </si>
  <si>
    <t>e001301</t>
  </si>
  <si>
    <r>
      <rPr>
        <rFont val="Noto Sans CJK SC"/>
        <color theme="1"/>
        <sz val="10.0"/>
      </rPr>
      <t xml:space="preserve">넘버 </t>
    </r>
    <r>
      <rPr>
        <rFont val="Arial"/>
        <color theme="1"/>
        <sz val="10.0"/>
      </rPr>
      <t>25</t>
    </r>
    <r>
      <rPr>
        <rFont val="Noto Sans CJK SC"/>
        <color theme="1"/>
        <sz val="10.0"/>
      </rPr>
      <t>호텔 신촌점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</si>
  <si>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</si>
  <si>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Noto Sans CJK SC"/>
        <color theme="1"/>
        <sz val="10.0"/>
      </rPr>
      <t>서울 마포구 서강로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12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</si>
  <si>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</si>
  <si>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</si>
  <si>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e_e000331</t>
  </si>
  <si>
    <t>e000331</t>
  </si>
  <si>
    <t>2023-05-31</t>
  </si>
  <si>
    <r>
      <rPr>
        <rFont val="Noto Sans CJK SC"/>
        <color theme="1"/>
        <sz val="10.0"/>
      </rPr>
      <t xml:space="preserve">드림 게스트하우스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>준 게스트하우스</t>
    </r>
  </si>
  <si>
    <t>7</t>
  </si>
  <si>
    <r>
      <rPr>
        <rFont val="Noto Sans CJK SC"/>
        <color theme="1"/>
        <sz val="10.0"/>
      </rPr>
      <t>서울 중구 퇴계로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22-5</t>
    </r>
  </si>
  <si>
    <r>
      <rPr>
        <rFont val="Noto Sans CJK SC"/>
        <color theme="1"/>
        <sz val="10.0"/>
      </rPr>
      <t>게스트하우스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</si>
  <si>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t>부산광역시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</si>
  <si>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</si>
  <si>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e_e000296</t>
  </si>
  <si>
    <t>e000296</t>
  </si>
  <si>
    <t>2023-05-23</t>
  </si>
  <si>
    <t>2023-05-26</t>
  </si>
  <si>
    <t>류 게스트하우스</t>
  </si>
  <si>
    <r>
      <rPr>
        <rFont val="Noto Sans CJK SC"/>
        <color theme="1"/>
        <sz val="10.0"/>
      </rPr>
      <t>서울 강남구 논현로</t>
    </r>
    <r>
      <rPr>
        <rFont val="Arial"/>
        <color theme="1"/>
        <sz val="10.0"/>
      </rPr>
      <t>159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22-2</t>
    </r>
  </si>
  <si>
    <r>
      <rPr>
        <rFont val="Noto Sans CJK SC"/>
        <color theme="1"/>
        <sz val="10.0"/>
      </rPr>
      <t>게스트하우스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</si>
  <si>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B. 2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숙박유형 기타</t>
    </r>
    <r>
      <rPr>
        <rFont val="Arial"/>
        <color theme="1"/>
        <sz val="10.0"/>
      </rPr>
      <t>)</t>
    </r>
  </si>
  <si>
    <t>e_e004463</t>
  </si>
  <si>
    <t>e004463</t>
  </si>
  <si>
    <t>2023-07-01</t>
  </si>
  <si>
    <t>2023-07-03</t>
  </si>
  <si>
    <t>북수원 스파 플렉스</t>
  </si>
  <si>
    <t>11</t>
  </si>
  <si>
    <r>
      <rPr>
        <rFont val="Noto Sans CJK SC"/>
        <color theme="1"/>
        <sz val="10.0"/>
      </rPr>
      <t>기타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</si>
  <si>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B. 2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숙박유형 기타</t>
    </r>
    <r>
      <rPr>
        <rFont val="Arial"/>
        <color theme="1"/>
        <sz val="10.0"/>
      </rPr>
      <t>)</t>
    </r>
  </si>
  <si>
    <t>e_e004044</t>
  </si>
  <si>
    <t>e004044</t>
  </si>
  <si>
    <t>2023-06-28</t>
  </si>
  <si>
    <t>2023-06-30</t>
  </si>
  <si>
    <t>스포렉스</t>
  </si>
  <si>
    <r>
      <rPr>
        <rFont val="Noto Sans CJK SC"/>
        <color theme="1"/>
        <sz val="10.0"/>
      </rPr>
      <t xml:space="preserve">서울 중구 장충단로 </t>
    </r>
    <r>
      <rPr>
        <rFont val="Arial"/>
        <color theme="1"/>
        <sz val="10.0"/>
      </rPr>
      <t>247</t>
    </r>
  </si>
  <si>
    <r>
      <rPr>
        <rFont val="Noto Sans CJK SC"/>
        <color theme="1"/>
        <sz val="10.0"/>
      </rPr>
      <t>기타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</si>
  <si>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C. </t>
    </r>
    <r>
      <rPr>
        <rFont val="Noto Sans CJK SC"/>
        <color theme="1"/>
        <sz val="10.0"/>
      </rPr>
      <t>제외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무박 여행 응답</t>
    </r>
    <r>
      <rPr>
        <rFont val="Arial"/>
        <color theme="1"/>
        <sz val="10.0"/>
      </rPr>
      <t>)</t>
    </r>
  </si>
  <si>
    <t>e_e002212</t>
  </si>
  <si>
    <t>e002212</t>
  </si>
  <si>
    <t>2023-06-08</t>
  </si>
  <si>
    <t>레즈고 스터디카페 양평점</t>
  </si>
  <si>
    <t>무박 여행</t>
  </si>
  <si>
    <t>12</t>
  </si>
  <si>
    <r>
      <rPr>
        <rFont val="Noto Sans CJK SC"/>
        <color theme="1"/>
        <sz val="10.0"/>
      </rPr>
      <t xml:space="preserve">경기 양평군 양평읍 관문길 </t>
    </r>
    <r>
      <rPr>
        <rFont val="Arial"/>
        <color theme="1"/>
        <sz val="10.0"/>
      </rPr>
      <t>26</t>
    </r>
  </si>
  <si>
    <t>전체중앙값</t>
  </si>
  <si>
    <r>
      <rPr>
        <rFont val="Noto Sans CJK SC"/>
        <b/>
        <color theme="1"/>
        <sz val="10.0"/>
      </rPr>
      <t xml:space="preserve">합계 </t>
    </r>
    <r>
      <rPr>
        <rFont val="Arial"/>
        <b/>
        <color theme="1"/>
        <sz val="10.0"/>
      </rPr>
      <t xml:space="preserve">/ </t>
    </r>
    <r>
      <rPr>
        <rFont val="Noto Sans CJK SC"/>
        <b/>
        <color theme="1"/>
        <sz val="10.0"/>
      </rPr>
      <t>건수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</si>
</sst>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theme="1"/>
      <name val="Noto Sans"/>
    </font>
    <font>
      <sz val="10.0"/>
      <color theme="1"/>
      <name val="Arial"/>
    </font>
    <font>
      <b/>
      <sz val="12.0"/>
      <color theme="1"/>
      <name val="Noto Sans"/>
    </font>
    <font>
      <b/>
      <sz val="10.0"/>
      <color rgb="FFC00000"/>
      <name val="Arial"/>
    </font>
    <font>
      <b/>
      <sz val="10.0"/>
      <color rgb="FFC00000"/>
      <name val="Noto Sans"/>
    </font>
    <font>
      <sz val="9.0"/>
      <color rgb="FF595959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theme="1"/>
      <name val="Noto Sans"/>
    </font>
    <font>
      <b/>
      <sz val="10.0"/>
      <color theme="1"/>
      <name val="Noto Sans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FDEAE0"/>
        <bgColor rgb="FFFDEAE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7" numFmtId="0" xfId="0" applyAlignment="1" applyBorder="1" applyFill="1" applyFont="1">
      <alignment horizontal="center" shrinkToFit="0" vertical="center" wrapText="1"/>
    </xf>
    <xf borderId="1" fillId="0" fontId="2" numFmtId="3" xfId="0" applyAlignment="1" applyBorder="1" applyFont="1" applyNumberFormat="1">
      <alignment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4" fontId="2" numFmtId="3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11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2.0"/>
    <col customWidth="1" min="2" max="4" width="12.0"/>
    <col customWidth="1" min="5" max="5" width="15.0"/>
    <col customWidth="1" min="6" max="6" width="9.0"/>
    <col customWidth="1" min="7" max="7" width="7.0"/>
    <col customWidth="1" min="8" max="8" width="10.0"/>
    <col customWidth="1" min="9" max="9" width="9.0"/>
    <col customWidth="1" min="10" max="10" width="30.0"/>
    <col customWidth="1" min="11" max="11" width="16.0"/>
    <col customWidth="1" min="12" max="12" width="11.0"/>
    <col customWidth="1" min="13" max="13" width="8.0"/>
    <col customWidth="1" min="14" max="14" width="32.0"/>
    <col customWidth="1" min="15" max="15" width="12.0"/>
    <col customWidth="1" min="16" max="18" width="11.0"/>
    <col customWidth="1" min="19" max="19" width="12.0"/>
    <col customWidth="1" min="20" max="20" width="16.0"/>
    <col customWidth="1" min="21" max="21" width="22.0"/>
    <col customWidth="1" min="22" max="22" width="10.0"/>
    <col customWidth="1" min="23" max="23" width="12.0"/>
    <col customWidth="1" min="24" max="27" width="13.0"/>
    <col customWidth="1" min="28" max="28" width="8.0"/>
    <col customWidth="1" min="29" max="29" width="9.0"/>
    <col customWidth="1" min="30" max="30" width="16.0"/>
  </cols>
  <sheetData>
    <row r="1">
      <c r="A1" s="1" t="s">
        <v>1</v>
      </c>
    </row>
    <row r="2">
      <c r="A2" s="5" t="s">
        <v>4</v>
      </c>
    </row>
    <row r="3">
      <c r="A3" s="6" t="s">
        <v>6</v>
      </c>
    </row>
    <row r="5" ht="30.0" customHeight="1">
      <c r="A5" s="7" t="s">
        <v>9</v>
      </c>
      <c r="B5" s="9" t="s">
        <v>12</v>
      </c>
      <c r="C5" s="9" t="s">
        <v>14</v>
      </c>
      <c r="D5" s="7" t="s">
        <v>15</v>
      </c>
      <c r="E5" s="7" t="s">
        <v>20</v>
      </c>
      <c r="F5" s="7" t="s">
        <v>22</v>
      </c>
      <c r="G5" s="7" t="s">
        <v>24</v>
      </c>
      <c r="H5" s="7" t="s">
        <v>25</v>
      </c>
      <c r="I5" s="7" t="s">
        <v>26</v>
      </c>
      <c r="J5" s="7" t="s">
        <v>27</v>
      </c>
      <c r="K5" s="7" t="s">
        <v>10</v>
      </c>
      <c r="L5" s="7" t="s">
        <v>28</v>
      </c>
      <c r="M5" s="7" t="s">
        <v>29</v>
      </c>
      <c r="N5" s="7" t="s">
        <v>31</v>
      </c>
      <c r="O5" s="7" t="s">
        <v>33</v>
      </c>
      <c r="P5" s="7" t="s">
        <v>34</v>
      </c>
      <c r="Q5" s="7" t="s">
        <v>35</v>
      </c>
      <c r="R5" s="7" t="s">
        <v>36</v>
      </c>
      <c r="S5" s="7" t="s">
        <v>37</v>
      </c>
      <c r="T5" s="9" t="s">
        <v>39</v>
      </c>
      <c r="U5" s="13" t="s">
        <v>41</v>
      </c>
      <c r="V5" s="13" t="s">
        <v>42</v>
      </c>
      <c r="W5" s="13" t="s">
        <v>45</v>
      </c>
      <c r="X5" s="13" t="s">
        <v>47</v>
      </c>
      <c r="Y5" s="13" t="s">
        <v>50</v>
      </c>
      <c r="Z5" s="13" t="s">
        <v>53</v>
      </c>
      <c r="AA5" s="13" t="s">
        <v>54</v>
      </c>
      <c r="AB5" s="9" t="s">
        <v>55</v>
      </c>
      <c r="AC5" s="9" t="s">
        <v>56</v>
      </c>
      <c r="AD5" s="9" t="s">
        <v>58</v>
      </c>
    </row>
    <row r="6">
      <c r="A6" s="12" t="s">
        <v>60</v>
      </c>
      <c r="B6" s="12" t="s">
        <v>62</v>
      </c>
      <c r="C6" s="12" t="s">
        <v>63</v>
      </c>
      <c r="D6" s="12" t="s">
        <v>64</v>
      </c>
      <c r="E6" s="12" t="s">
        <v>65</v>
      </c>
      <c r="F6" s="12">
        <v>3.0</v>
      </c>
      <c r="G6" s="12">
        <v>2.0</v>
      </c>
      <c r="H6" s="12">
        <v>5.0</v>
      </c>
      <c r="I6" s="12">
        <v>6.0</v>
      </c>
      <c r="J6" s="11" t="s">
        <v>67</v>
      </c>
      <c r="K6" s="11" t="s">
        <v>70</v>
      </c>
      <c r="L6" s="12" t="s">
        <v>71</v>
      </c>
      <c r="M6" s="11" t="s">
        <v>72</v>
      </c>
      <c r="N6" s="11" t="s">
        <v>75</v>
      </c>
      <c r="O6" s="12">
        <v>1500.0</v>
      </c>
      <c r="P6" s="14">
        <v>31500.0</v>
      </c>
      <c r="Q6" s="14">
        <v>150890.0</v>
      </c>
      <c r="R6" s="14">
        <v>70000.0</v>
      </c>
      <c r="S6" s="14">
        <v>252390.0</v>
      </c>
      <c r="T6" s="14">
        <v>42065.0</v>
      </c>
      <c r="U6" s="15" t="s">
        <v>77</v>
      </c>
      <c r="V6" s="15">
        <v>14.0</v>
      </c>
      <c r="W6" s="16">
        <v>179480.0</v>
      </c>
      <c r="X6" s="16">
        <v>358960.0</v>
      </c>
      <c r="Y6" s="16">
        <v>202750.0</v>
      </c>
      <c r="Z6" s="16">
        <v>540000.0</v>
      </c>
      <c r="AA6" s="16">
        <v>611350.0</v>
      </c>
      <c r="AB6" s="11" t="s">
        <v>83</v>
      </c>
      <c r="AC6" s="12">
        <v>50.0</v>
      </c>
      <c r="AD6" s="11" t="s">
        <v>84</v>
      </c>
    </row>
    <row r="7">
      <c r="A7" s="12" t="s">
        <v>86</v>
      </c>
      <c r="B7" s="12" t="s">
        <v>87</v>
      </c>
      <c r="C7" s="12" t="s">
        <v>88</v>
      </c>
      <c r="D7" s="12" t="s">
        <v>89</v>
      </c>
      <c r="E7" s="12" t="s">
        <v>90</v>
      </c>
      <c r="F7" s="12">
        <v>3.0</v>
      </c>
      <c r="G7" s="12">
        <v>2.0</v>
      </c>
      <c r="H7" s="12">
        <v>3.0</v>
      </c>
      <c r="I7" s="12">
        <v>4.0</v>
      </c>
      <c r="J7" s="11" t="s">
        <v>92</v>
      </c>
      <c r="K7" s="11" t="s">
        <v>93</v>
      </c>
      <c r="L7" s="12" t="s">
        <v>94</v>
      </c>
      <c r="M7" s="11" t="s">
        <v>72</v>
      </c>
      <c r="N7" s="11" t="s">
        <v>96</v>
      </c>
      <c r="O7" s="12">
        <v>840.0</v>
      </c>
      <c r="P7" s="14">
        <v>159900.0</v>
      </c>
      <c r="Q7" s="14">
        <v>0.0</v>
      </c>
      <c r="R7" s="14">
        <v>14200.0</v>
      </c>
      <c r="S7" s="14">
        <v>174100.0</v>
      </c>
      <c r="T7" s="14">
        <v>43525.0</v>
      </c>
      <c r="U7" s="15" t="s">
        <v>99</v>
      </c>
      <c r="V7" s="15">
        <v>66.0</v>
      </c>
      <c r="W7" s="16">
        <v>172306.0</v>
      </c>
      <c r="X7" s="16">
        <v>344612.0</v>
      </c>
      <c r="Y7" s="16">
        <v>240248.0</v>
      </c>
      <c r="Z7" s="16">
        <v>494910.0</v>
      </c>
      <c r="AA7" s="16">
        <v>518712.0</v>
      </c>
      <c r="AB7" s="11" t="s">
        <v>83</v>
      </c>
      <c r="AC7" s="12">
        <v>50.0</v>
      </c>
      <c r="AD7" s="11" t="s">
        <v>102</v>
      </c>
    </row>
    <row r="8">
      <c r="A8" s="12" t="s">
        <v>105</v>
      </c>
      <c r="B8" s="12" t="s">
        <v>107</v>
      </c>
      <c r="C8" s="12" t="s">
        <v>108</v>
      </c>
      <c r="D8" s="12" t="s">
        <v>64</v>
      </c>
      <c r="E8" s="12" t="s">
        <v>89</v>
      </c>
      <c r="F8" s="12">
        <v>2.0</v>
      </c>
      <c r="G8" s="12">
        <v>1.0</v>
      </c>
      <c r="H8" s="12">
        <v>2.0</v>
      </c>
      <c r="I8" s="12">
        <v>3.0</v>
      </c>
      <c r="J8" s="11" t="s">
        <v>109</v>
      </c>
      <c r="K8" s="11" t="s">
        <v>93</v>
      </c>
      <c r="L8" s="12" t="s">
        <v>94</v>
      </c>
      <c r="M8" s="11" t="s">
        <v>111</v>
      </c>
      <c r="N8" s="11" t="s">
        <v>112</v>
      </c>
      <c r="O8" s="12">
        <v>780.0</v>
      </c>
      <c r="P8" s="14">
        <v>140500.0</v>
      </c>
      <c r="Q8" s="14">
        <v>0.0</v>
      </c>
      <c r="R8" s="14">
        <v>159400.0</v>
      </c>
      <c r="S8" s="14">
        <v>299900.0</v>
      </c>
      <c r="T8" s="14">
        <v>99967.0</v>
      </c>
      <c r="U8" s="15" t="s">
        <v>114</v>
      </c>
      <c r="V8" s="15">
        <v>66.0</v>
      </c>
      <c r="W8" s="16">
        <v>172306.0</v>
      </c>
      <c r="X8" s="16">
        <v>172306.0</v>
      </c>
      <c r="Y8" s="16">
        <v>120124.0</v>
      </c>
      <c r="Z8" s="16">
        <v>247455.0</v>
      </c>
      <c r="AA8" s="16">
        <v>472206.0</v>
      </c>
      <c r="AB8" s="11" t="s">
        <v>83</v>
      </c>
      <c r="AC8" s="12">
        <v>30.0</v>
      </c>
      <c r="AD8" s="11" t="s">
        <v>116</v>
      </c>
    </row>
    <row r="9">
      <c r="A9" s="12" t="s">
        <v>118</v>
      </c>
      <c r="B9" s="12" t="s">
        <v>119</v>
      </c>
      <c r="C9" s="12" t="s">
        <v>120</v>
      </c>
      <c r="D9" s="12" t="s">
        <v>121</v>
      </c>
      <c r="E9" s="12" t="s">
        <v>65</v>
      </c>
      <c r="F9" s="12">
        <v>2.0</v>
      </c>
      <c r="G9" s="12">
        <v>1.0</v>
      </c>
      <c r="H9" s="12">
        <v>3.0</v>
      </c>
      <c r="I9" s="12">
        <v>4.0</v>
      </c>
      <c r="J9" s="11" t="s">
        <v>123</v>
      </c>
      <c r="K9" s="11" t="s">
        <v>93</v>
      </c>
      <c r="L9" s="12" t="s">
        <v>94</v>
      </c>
      <c r="M9" s="11" t="s">
        <v>111</v>
      </c>
      <c r="N9" s="11" t="s">
        <v>125</v>
      </c>
      <c r="O9" s="12">
        <v>360.0</v>
      </c>
      <c r="P9" s="14">
        <v>124300.0</v>
      </c>
      <c r="Q9" s="14">
        <v>0.0</v>
      </c>
      <c r="R9" s="14">
        <v>30000.0</v>
      </c>
      <c r="S9" s="14">
        <v>154300.0</v>
      </c>
      <c r="T9" s="14">
        <v>38575.0</v>
      </c>
      <c r="U9" s="15" t="s">
        <v>128</v>
      </c>
      <c r="V9" s="15">
        <v>66.0</v>
      </c>
      <c r="W9" s="16">
        <v>172306.0</v>
      </c>
      <c r="X9" s="16">
        <v>172306.0</v>
      </c>
      <c r="Y9" s="16">
        <v>120124.0</v>
      </c>
      <c r="Z9" s="16">
        <v>247455.0</v>
      </c>
      <c r="AA9" s="16">
        <v>326606.0</v>
      </c>
      <c r="AB9" s="11" t="s">
        <v>83</v>
      </c>
      <c r="AC9" s="12">
        <v>30.0</v>
      </c>
      <c r="AD9" s="11" t="s">
        <v>84</v>
      </c>
    </row>
    <row r="10">
      <c r="A10" s="12" t="s">
        <v>132</v>
      </c>
      <c r="B10" s="12" t="s">
        <v>133</v>
      </c>
      <c r="C10" s="12" t="s">
        <v>134</v>
      </c>
      <c r="D10" s="12" t="s">
        <v>135</v>
      </c>
      <c r="E10" s="12" t="s">
        <v>136</v>
      </c>
      <c r="F10" s="12">
        <v>2.0</v>
      </c>
      <c r="G10" s="12">
        <v>1.0</v>
      </c>
      <c r="H10" s="12">
        <v>2.0</v>
      </c>
      <c r="I10" s="12">
        <v>3.0</v>
      </c>
      <c r="J10" s="11" t="s">
        <v>137</v>
      </c>
      <c r="K10" s="11" t="s">
        <v>139</v>
      </c>
      <c r="L10" s="12" t="s">
        <v>140</v>
      </c>
      <c r="M10" s="11" t="s">
        <v>72</v>
      </c>
      <c r="N10" s="11" t="s">
        <v>142</v>
      </c>
      <c r="O10" s="12">
        <v>210.0</v>
      </c>
      <c r="P10" s="14">
        <v>410600.0</v>
      </c>
      <c r="Q10" s="14">
        <v>0.0</v>
      </c>
      <c r="R10" s="14">
        <v>0.0</v>
      </c>
      <c r="S10" s="14">
        <v>410600.0</v>
      </c>
      <c r="T10" s="14">
        <v>136867.0</v>
      </c>
      <c r="U10" s="15" t="s">
        <v>145</v>
      </c>
      <c r="V10" s="15">
        <v>23.0</v>
      </c>
      <c r="W10" s="16">
        <v>152700.0</v>
      </c>
      <c r="X10" s="16">
        <v>152700.0</v>
      </c>
      <c r="Y10" s="16">
        <v>99334.0</v>
      </c>
      <c r="Z10" s="16">
        <v>315800.0</v>
      </c>
      <c r="AA10" s="16">
        <v>563300.0</v>
      </c>
      <c r="AB10" s="11" t="s">
        <v>148</v>
      </c>
      <c r="AC10" s="12">
        <v>30.0</v>
      </c>
      <c r="AD10" s="11" t="s">
        <v>149</v>
      </c>
    </row>
    <row r="11">
      <c r="A11" s="12" t="s">
        <v>150</v>
      </c>
      <c r="B11" s="12" t="s">
        <v>153</v>
      </c>
      <c r="C11" s="12" t="s">
        <v>154</v>
      </c>
      <c r="D11" s="12" t="s">
        <v>155</v>
      </c>
      <c r="E11" s="12" t="s">
        <v>156</v>
      </c>
      <c r="F11" s="12">
        <v>2.0</v>
      </c>
      <c r="G11" s="12">
        <v>1.0</v>
      </c>
      <c r="H11" s="12">
        <v>1.0</v>
      </c>
      <c r="I11" s="12">
        <v>2.0</v>
      </c>
      <c r="J11" s="11" t="s">
        <v>157</v>
      </c>
      <c r="K11" s="11" t="s">
        <v>158</v>
      </c>
      <c r="L11" s="12" t="s">
        <v>159</v>
      </c>
      <c r="M11" s="11" t="s">
        <v>72</v>
      </c>
      <c r="N11" s="11" t="s">
        <v>161</v>
      </c>
      <c r="O11" s="12">
        <v>390.0</v>
      </c>
      <c r="P11" s="14">
        <v>296130.0</v>
      </c>
      <c r="Q11" s="14">
        <v>62900.0</v>
      </c>
      <c r="R11" s="14">
        <v>55000.0</v>
      </c>
      <c r="S11" s="14">
        <v>414030.0</v>
      </c>
      <c r="T11" s="14">
        <v>207015.0</v>
      </c>
      <c r="U11" s="15" t="s">
        <v>163</v>
      </c>
      <c r="V11" s="15">
        <v>44.0</v>
      </c>
      <c r="W11" s="16">
        <v>147330.0</v>
      </c>
      <c r="X11" s="16">
        <v>147330.0</v>
      </c>
      <c r="Y11" s="16">
        <v>111425.0</v>
      </c>
      <c r="Z11" s="16">
        <v>198491.0</v>
      </c>
      <c r="AA11" s="16">
        <v>561360.0</v>
      </c>
      <c r="AB11" s="11" t="s">
        <v>148</v>
      </c>
      <c r="AC11" s="12">
        <v>20.0</v>
      </c>
      <c r="AD11" s="11" t="s">
        <v>149</v>
      </c>
    </row>
    <row r="12">
      <c r="A12" s="12" t="s">
        <v>167</v>
      </c>
      <c r="B12" s="12" t="s">
        <v>169</v>
      </c>
      <c r="C12" s="12" t="s">
        <v>170</v>
      </c>
      <c r="D12" s="12" t="s">
        <v>171</v>
      </c>
      <c r="E12" s="12" t="s">
        <v>172</v>
      </c>
      <c r="F12" s="12">
        <v>2.0</v>
      </c>
      <c r="G12" s="12">
        <v>1.0</v>
      </c>
      <c r="H12" s="12">
        <v>1.0</v>
      </c>
      <c r="I12" s="12">
        <v>2.0</v>
      </c>
      <c r="J12" s="11" t="s">
        <v>173</v>
      </c>
      <c r="K12" s="11" t="s">
        <v>158</v>
      </c>
      <c r="L12" s="12" t="s">
        <v>159</v>
      </c>
      <c r="M12" s="11" t="s">
        <v>72</v>
      </c>
      <c r="N12" s="11" t="s">
        <v>175</v>
      </c>
      <c r="O12" s="12">
        <v>210.0</v>
      </c>
      <c r="P12" s="14">
        <v>40250.0</v>
      </c>
      <c r="Q12" s="14">
        <v>0.0</v>
      </c>
      <c r="R12" s="14">
        <v>3000.0</v>
      </c>
      <c r="S12" s="14">
        <v>43250.0</v>
      </c>
      <c r="T12" s="14">
        <v>21625.0</v>
      </c>
      <c r="U12" s="15" t="s">
        <v>177</v>
      </c>
      <c r="V12" s="15">
        <v>44.0</v>
      </c>
      <c r="W12" s="16">
        <v>147330.0</v>
      </c>
      <c r="X12" s="16">
        <v>147330.0</v>
      </c>
      <c r="Y12" s="16">
        <v>111425.0</v>
      </c>
      <c r="Z12" s="16">
        <v>198491.0</v>
      </c>
      <c r="AA12" s="16">
        <v>190580.0</v>
      </c>
      <c r="AB12" s="11" t="s">
        <v>148</v>
      </c>
      <c r="AC12" s="12">
        <v>20.0</v>
      </c>
      <c r="AD12" s="11" t="s">
        <v>84</v>
      </c>
    </row>
    <row r="13">
      <c r="A13" s="12" t="s">
        <v>181</v>
      </c>
      <c r="B13" s="12" t="s">
        <v>182</v>
      </c>
      <c r="C13" s="12" t="s">
        <v>183</v>
      </c>
      <c r="D13" s="12" t="s">
        <v>184</v>
      </c>
      <c r="E13" s="12" t="s">
        <v>185</v>
      </c>
      <c r="F13" s="12">
        <v>2.0</v>
      </c>
      <c r="G13" s="12">
        <v>1.0</v>
      </c>
      <c r="H13" s="12">
        <v>1.0</v>
      </c>
      <c r="I13" s="12">
        <v>2.0</v>
      </c>
      <c r="J13" s="11" t="s">
        <v>188</v>
      </c>
      <c r="K13" s="11" t="s">
        <v>189</v>
      </c>
      <c r="L13" s="12" t="s">
        <v>71</v>
      </c>
      <c r="M13" s="11" t="s">
        <v>72</v>
      </c>
      <c r="N13" s="11" t="s">
        <v>190</v>
      </c>
      <c r="O13" s="12">
        <v>480.0</v>
      </c>
      <c r="P13" s="14">
        <v>196000.0</v>
      </c>
      <c r="Q13" s="14">
        <v>0.0</v>
      </c>
      <c r="R13" s="14">
        <v>30000.0</v>
      </c>
      <c r="S13" s="14">
        <v>226000.0</v>
      </c>
      <c r="T13" s="14">
        <v>113000.0</v>
      </c>
      <c r="U13" s="15" t="s">
        <v>193</v>
      </c>
      <c r="V13" s="15">
        <v>37.0</v>
      </c>
      <c r="W13" s="16">
        <v>126000.0</v>
      </c>
      <c r="X13" s="16">
        <v>126000.0</v>
      </c>
      <c r="Y13" s="16">
        <v>60000.0</v>
      </c>
      <c r="Z13" s="16">
        <v>167000.0</v>
      </c>
      <c r="AA13" s="16">
        <v>352000.0</v>
      </c>
      <c r="AB13" s="11" t="s">
        <v>83</v>
      </c>
      <c r="AC13" s="12">
        <v>40.0</v>
      </c>
      <c r="AD13" s="11" t="s">
        <v>84</v>
      </c>
    </row>
    <row r="14">
      <c r="A14" s="12" t="s">
        <v>194</v>
      </c>
      <c r="B14" s="12" t="s">
        <v>196</v>
      </c>
      <c r="C14" s="12" t="s">
        <v>197</v>
      </c>
      <c r="D14" s="12" t="s">
        <v>198</v>
      </c>
      <c r="E14" s="12" t="s">
        <v>199</v>
      </c>
      <c r="F14" s="12">
        <v>2.0</v>
      </c>
      <c r="G14" s="12">
        <v>1.0</v>
      </c>
      <c r="H14" s="12">
        <v>1.0</v>
      </c>
      <c r="I14" s="12">
        <v>2.0</v>
      </c>
      <c r="J14" s="11" t="s">
        <v>201</v>
      </c>
      <c r="K14" s="11" t="s">
        <v>202</v>
      </c>
      <c r="L14" s="12" t="s">
        <v>71</v>
      </c>
      <c r="M14" s="11" t="s">
        <v>72</v>
      </c>
      <c r="N14" s="11" t="s">
        <v>204</v>
      </c>
      <c r="O14" s="12">
        <v>1650.0</v>
      </c>
      <c r="P14" s="14">
        <v>40070.0</v>
      </c>
      <c r="Q14" s="14">
        <v>0.0</v>
      </c>
      <c r="R14" s="14">
        <v>35600.0</v>
      </c>
      <c r="S14" s="14">
        <v>75670.0</v>
      </c>
      <c r="T14" s="14">
        <v>37835.0</v>
      </c>
      <c r="U14" s="15" t="s">
        <v>206</v>
      </c>
      <c r="V14" s="15">
        <v>37.0</v>
      </c>
      <c r="W14" s="16">
        <v>126000.0</v>
      </c>
      <c r="X14" s="16">
        <v>126000.0</v>
      </c>
      <c r="Y14" s="16">
        <v>60000.0</v>
      </c>
      <c r="Z14" s="16">
        <v>167000.0</v>
      </c>
      <c r="AA14" s="16">
        <v>201670.0</v>
      </c>
      <c r="AB14" s="11" t="s">
        <v>83</v>
      </c>
      <c r="AC14" s="12">
        <v>60.0</v>
      </c>
      <c r="AD14" s="11" t="s">
        <v>84</v>
      </c>
    </row>
    <row r="15">
      <c r="A15" s="12" t="s">
        <v>208</v>
      </c>
      <c r="B15" s="12" t="s">
        <v>209</v>
      </c>
      <c r="C15" s="12" t="s">
        <v>210</v>
      </c>
      <c r="D15" s="12" t="s">
        <v>121</v>
      </c>
      <c r="E15" s="12" t="s">
        <v>65</v>
      </c>
      <c r="F15" s="12">
        <v>2.0</v>
      </c>
      <c r="G15" s="12">
        <v>1.0</v>
      </c>
      <c r="H15" s="12">
        <v>1.0</v>
      </c>
      <c r="I15" s="12">
        <v>2.0</v>
      </c>
      <c r="J15" s="11" t="s">
        <v>212</v>
      </c>
      <c r="K15" s="11" t="s">
        <v>93</v>
      </c>
      <c r="L15" s="12" t="s">
        <v>94</v>
      </c>
      <c r="M15" s="11" t="s">
        <v>111</v>
      </c>
      <c r="N15" s="11" t="s">
        <v>214</v>
      </c>
      <c r="O15" s="12">
        <v>30.0</v>
      </c>
      <c r="P15" s="14">
        <v>115900.0</v>
      </c>
      <c r="Q15" s="14">
        <v>375000.0</v>
      </c>
      <c r="R15" s="14">
        <v>100100.0</v>
      </c>
      <c r="S15" s="14">
        <v>591000.0</v>
      </c>
      <c r="T15" s="14">
        <v>295500.0</v>
      </c>
      <c r="U15" s="15" t="s">
        <v>215</v>
      </c>
      <c r="V15" s="15">
        <v>178.0</v>
      </c>
      <c r="W15" s="16">
        <v>123000.0</v>
      </c>
      <c r="X15" s="16">
        <v>123000.0</v>
      </c>
      <c r="Y15" s="16">
        <v>77334.0</v>
      </c>
      <c r="Z15" s="16">
        <v>199914.0</v>
      </c>
      <c r="AA15" s="16">
        <v>714000.0</v>
      </c>
      <c r="AB15" s="11" t="s">
        <v>148</v>
      </c>
      <c r="AC15" s="12">
        <v>20.0</v>
      </c>
      <c r="AD15" s="11" t="s">
        <v>217</v>
      </c>
    </row>
    <row r="16">
      <c r="A16" s="12" t="s">
        <v>218</v>
      </c>
      <c r="B16" s="12" t="s">
        <v>219</v>
      </c>
      <c r="C16" s="12" t="s">
        <v>221</v>
      </c>
      <c r="D16" s="12" t="s">
        <v>222</v>
      </c>
      <c r="E16" s="12" t="s">
        <v>223</v>
      </c>
      <c r="F16" s="12">
        <v>2.0</v>
      </c>
      <c r="G16" s="12">
        <v>1.0</v>
      </c>
      <c r="H16" s="12">
        <v>1.0</v>
      </c>
      <c r="I16" s="12">
        <v>2.0</v>
      </c>
      <c r="J16" s="11" t="s">
        <v>224</v>
      </c>
      <c r="K16" s="11" t="s">
        <v>93</v>
      </c>
      <c r="L16" s="12" t="s">
        <v>94</v>
      </c>
      <c r="M16" s="11" t="s">
        <v>111</v>
      </c>
      <c r="N16" s="11" t="s">
        <v>226</v>
      </c>
      <c r="O16" s="12">
        <v>120.0</v>
      </c>
      <c r="P16" s="14">
        <v>13600.0</v>
      </c>
      <c r="Q16" s="14">
        <v>0.0</v>
      </c>
      <c r="R16" s="14">
        <v>12500.0</v>
      </c>
      <c r="S16" s="14">
        <v>26100.0</v>
      </c>
      <c r="T16" s="14">
        <v>13050.0</v>
      </c>
      <c r="U16" s="15" t="s">
        <v>227</v>
      </c>
      <c r="V16" s="15">
        <v>178.0</v>
      </c>
      <c r="W16" s="16">
        <v>123000.0</v>
      </c>
      <c r="X16" s="16">
        <v>123000.0</v>
      </c>
      <c r="Y16" s="16">
        <v>77334.0</v>
      </c>
      <c r="Z16" s="16">
        <v>199914.0</v>
      </c>
      <c r="AA16" s="16">
        <v>149100.0</v>
      </c>
      <c r="AB16" s="11" t="s">
        <v>148</v>
      </c>
      <c r="AC16" s="12">
        <v>30.0</v>
      </c>
      <c r="AD16" s="11" t="s">
        <v>102</v>
      </c>
    </row>
    <row r="17">
      <c r="A17" s="12" t="s">
        <v>229</v>
      </c>
      <c r="B17" s="12" t="s">
        <v>230</v>
      </c>
      <c r="C17" s="12" t="s">
        <v>231</v>
      </c>
      <c r="D17" s="12" t="s">
        <v>64</v>
      </c>
      <c r="E17" s="12" t="s">
        <v>65</v>
      </c>
      <c r="F17" s="12">
        <v>3.0</v>
      </c>
      <c r="G17" s="12">
        <v>2.0</v>
      </c>
      <c r="H17" s="12">
        <v>0.0</v>
      </c>
      <c r="I17" s="12">
        <v>1.0</v>
      </c>
      <c r="J17" s="11" t="s">
        <v>233</v>
      </c>
      <c r="K17" s="11" t="s">
        <v>234</v>
      </c>
      <c r="L17" s="12" t="s">
        <v>235</v>
      </c>
      <c r="M17" s="11" t="s">
        <v>72</v>
      </c>
      <c r="N17" s="11" t="s">
        <v>236</v>
      </c>
      <c r="O17" s="12">
        <v>450.0</v>
      </c>
      <c r="P17" s="14">
        <v>129330.0</v>
      </c>
      <c r="Q17" s="14">
        <v>0.0</v>
      </c>
      <c r="R17" s="14">
        <v>0.0</v>
      </c>
      <c r="S17" s="14">
        <v>129330.0</v>
      </c>
      <c r="T17" s="14">
        <v>129330.0</v>
      </c>
      <c r="U17" s="15" t="s">
        <v>237</v>
      </c>
      <c r="V17" s="15">
        <v>20.0</v>
      </c>
      <c r="W17" s="16">
        <v>45750.0</v>
      </c>
      <c r="X17" s="16">
        <v>91500.0</v>
      </c>
      <c r="Y17" s="16">
        <v>73500.0</v>
      </c>
      <c r="Z17" s="16">
        <v>144700.0</v>
      </c>
      <c r="AA17" s="16">
        <v>220830.0</v>
      </c>
      <c r="AB17" s="11" t="s">
        <v>148</v>
      </c>
      <c r="AC17" s="12">
        <v>20.0</v>
      </c>
      <c r="AD17" s="11" t="s">
        <v>238</v>
      </c>
    </row>
    <row r="18">
      <c r="A18" s="12" t="s">
        <v>239</v>
      </c>
      <c r="B18" s="12" t="s">
        <v>240</v>
      </c>
      <c r="C18" s="12" t="s">
        <v>241</v>
      </c>
      <c r="D18" s="12" t="s">
        <v>242</v>
      </c>
      <c r="E18" s="12" t="s">
        <v>243</v>
      </c>
      <c r="F18" s="12">
        <v>2.0</v>
      </c>
      <c r="G18" s="12">
        <v>1.0</v>
      </c>
      <c r="H18" s="12">
        <v>0.0</v>
      </c>
      <c r="I18" s="12">
        <v>1.0</v>
      </c>
      <c r="J18" s="11" t="s">
        <v>244</v>
      </c>
      <c r="K18" s="11" t="s">
        <v>93</v>
      </c>
      <c r="L18" s="12" t="s">
        <v>94</v>
      </c>
      <c r="M18" s="11" t="s">
        <v>111</v>
      </c>
      <c r="N18" s="11" t="s">
        <v>245</v>
      </c>
      <c r="O18" s="12">
        <v>120.0</v>
      </c>
      <c r="P18" s="14">
        <v>207000.0</v>
      </c>
      <c r="Q18" s="14">
        <v>0.0</v>
      </c>
      <c r="R18" s="14">
        <v>133720.0</v>
      </c>
      <c r="S18" s="14">
        <v>340720.0</v>
      </c>
      <c r="T18" s="14">
        <v>340720.0</v>
      </c>
      <c r="U18" s="15" t="s">
        <v>246</v>
      </c>
      <c r="V18" s="15">
        <v>46.0</v>
      </c>
      <c r="W18" s="16">
        <v>87052.0</v>
      </c>
      <c r="X18" s="16">
        <v>87052.0</v>
      </c>
      <c r="Y18" s="16">
        <v>65561.0</v>
      </c>
      <c r="Z18" s="16">
        <v>133750.0</v>
      </c>
      <c r="AA18" s="16">
        <v>427772.0</v>
      </c>
      <c r="AB18" s="11" t="s">
        <v>83</v>
      </c>
      <c r="AC18" s="12">
        <v>30.0</v>
      </c>
      <c r="AD18" s="11" t="s">
        <v>247</v>
      </c>
    </row>
    <row r="19">
      <c r="A19" s="12" t="s">
        <v>248</v>
      </c>
      <c r="B19" s="12" t="s">
        <v>249</v>
      </c>
      <c r="C19" s="12" t="s">
        <v>250</v>
      </c>
      <c r="D19" s="12" t="s">
        <v>251</v>
      </c>
      <c r="E19" s="12" t="s">
        <v>252</v>
      </c>
      <c r="F19" s="12">
        <v>2.0</v>
      </c>
      <c r="G19" s="12">
        <v>1.0</v>
      </c>
      <c r="H19" s="12">
        <v>2.0</v>
      </c>
      <c r="I19" s="12">
        <v>3.0</v>
      </c>
      <c r="J19" s="11" t="s">
        <v>253</v>
      </c>
      <c r="K19" s="11" t="s">
        <v>254</v>
      </c>
      <c r="L19" s="12" t="s">
        <v>71</v>
      </c>
      <c r="M19" s="11" t="s">
        <v>72</v>
      </c>
      <c r="N19" s="11" t="s">
        <v>255</v>
      </c>
      <c r="O19" s="12">
        <v>360.0</v>
      </c>
      <c r="P19" s="14">
        <v>101000.0</v>
      </c>
      <c r="Q19" s="14">
        <v>0.0</v>
      </c>
      <c r="R19" s="14">
        <v>50000.0</v>
      </c>
      <c r="S19" s="14">
        <v>151000.0</v>
      </c>
      <c r="T19" s="14">
        <v>50333.0</v>
      </c>
      <c r="U19" s="15" t="s">
        <v>256</v>
      </c>
      <c r="V19" s="15">
        <v>39.0</v>
      </c>
      <c r="W19" s="16">
        <v>70000.0</v>
      </c>
      <c r="X19" s="16">
        <v>70000.0</v>
      </c>
      <c r="Y19" s="16">
        <v>45000.0</v>
      </c>
      <c r="Z19" s="16">
        <v>163866.0</v>
      </c>
      <c r="AA19" s="16">
        <v>221000.0</v>
      </c>
      <c r="AB19" s="11" t="s">
        <v>83</v>
      </c>
      <c r="AC19" s="12">
        <v>60.0</v>
      </c>
      <c r="AD19" s="11" t="s">
        <v>149</v>
      </c>
    </row>
    <row r="20">
      <c r="A20" s="12" t="s">
        <v>257</v>
      </c>
      <c r="B20" s="12" t="s">
        <v>258</v>
      </c>
      <c r="C20" s="12" t="s">
        <v>259</v>
      </c>
      <c r="D20" s="12" t="s">
        <v>260</v>
      </c>
      <c r="E20" s="12" t="s">
        <v>261</v>
      </c>
      <c r="F20" s="12">
        <v>2.0</v>
      </c>
      <c r="G20" s="12">
        <v>1.0</v>
      </c>
      <c r="H20" s="12">
        <v>2.0</v>
      </c>
      <c r="I20" s="12">
        <v>3.0</v>
      </c>
      <c r="J20" s="11" t="s">
        <v>262</v>
      </c>
      <c r="K20" s="11" t="s">
        <v>263</v>
      </c>
      <c r="L20" s="12" t="s">
        <v>264</v>
      </c>
      <c r="M20" s="11" t="s">
        <v>111</v>
      </c>
      <c r="N20" s="11" t="s">
        <v>265</v>
      </c>
      <c r="O20" s="12">
        <v>90.0</v>
      </c>
      <c r="P20" s="14">
        <v>112500.0</v>
      </c>
      <c r="Q20" s="14">
        <v>68824.0</v>
      </c>
      <c r="R20" s="14">
        <v>47400.0</v>
      </c>
      <c r="S20" s="14">
        <v>228724.0</v>
      </c>
      <c r="T20" s="14">
        <v>76241.0</v>
      </c>
      <c r="U20" s="15" t="s">
        <v>266</v>
      </c>
      <c r="V20" s="15">
        <v>7.0</v>
      </c>
      <c r="W20" s="16">
        <v>60000.0</v>
      </c>
      <c r="X20" s="16">
        <v>60000.0</v>
      </c>
      <c r="Y20" s="16">
        <v>57500.0</v>
      </c>
      <c r="Z20" s="16">
        <v>82500.0</v>
      </c>
      <c r="AA20" s="16">
        <v>288724.0</v>
      </c>
      <c r="AB20" s="11" t="s">
        <v>148</v>
      </c>
      <c r="AC20" s="12">
        <v>40.0</v>
      </c>
      <c r="AD20" s="11" t="s">
        <v>84</v>
      </c>
    </row>
    <row r="21" ht="15.75" customHeight="1">
      <c r="A21" s="12" t="s">
        <v>267</v>
      </c>
      <c r="B21" s="12" t="s">
        <v>268</v>
      </c>
      <c r="C21" s="12" t="s">
        <v>269</v>
      </c>
      <c r="D21" s="12" t="s">
        <v>270</v>
      </c>
      <c r="E21" s="12" t="s">
        <v>271</v>
      </c>
      <c r="F21" s="12">
        <v>2.0</v>
      </c>
      <c r="G21" s="12">
        <v>1.0</v>
      </c>
      <c r="H21" s="12">
        <v>3.0</v>
      </c>
      <c r="I21" s="12">
        <v>4.0</v>
      </c>
      <c r="J21" s="11" t="s">
        <v>272</v>
      </c>
      <c r="K21" s="11" t="s">
        <v>144</v>
      </c>
      <c r="L21" s="12" t="s">
        <v>273</v>
      </c>
      <c r="M21" s="11" t="s">
        <v>72</v>
      </c>
      <c r="N21" s="11" t="s">
        <v>274</v>
      </c>
      <c r="O21" s="12">
        <v>510.0</v>
      </c>
      <c r="P21" s="14">
        <v>273900.0</v>
      </c>
      <c r="Q21" s="14">
        <v>0.0</v>
      </c>
      <c r="R21" s="14">
        <v>55000.0</v>
      </c>
      <c r="S21" s="14">
        <v>328900.0</v>
      </c>
      <c r="T21" s="14">
        <v>82225.0</v>
      </c>
      <c r="U21" s="15" t="s">
        <v>275</v>
      </c>
      <c r="V21" s="15">
        <v>5.0</v>
      </c>
      <c r="W21" s="16">
        <v>58000.0</v>
      </c>
      <c r="X21" s="16">
        <v>58000.0</v>
      </c>
      <c r="Y21" s="16">
        <v>45000.0</v>
      </c>
      <c r="Z21" s="16">
        <v>170000.0</v>
      </c>
      <c r="AA21" s="16">
        <v>386900.0</v>
      </c>
      <c r="AB21" s="11" t="s">
        <v>83</v>
      </c>
      <c r="AC21" s="12">
        <v>40.0</v>
      </c>
      <c r="AD21" s="11" t="s">
        <v>149</v>
      </c>
    </row>
    <row r="22" ht="15.75" customHeight="1">
      <c r="A22" s="12" t="s">
        <v>276</v>
      </c>
      <c r="B22" s="12" t="s">
        <v>277</v>
      </c>
      <c r="C22" s="12" t="s">
        <v>278</v>
      </c>
      <c r="D22" s="12" t="s">
        <v>270</v>
      </c>
      <c r="E22" s="12" t="s">
        <v>271</v>
      </c>
      <c r="F22" s="12">
        <v>2.0</v>
      </c>
      <c r="G22" s="12">
        <v>1.0</v>
      </c>
      <c r="H22" s="12">
        <v>1.0</v>
      </c>
      <c r="I22" s="12">
        <v>2.0</v>
      </c>
      <c r="J22" s="11" t="s">
        <v>279</v>
      </c>
      <c r="K22" s="11" t="s">
        <v>280</v>
      </c>
      <c r="L22" s="12" t="s">
        <v>264</v>
      </c>
      <c r="M22" s="11" t="s">
        <v>281</v>
      </c>
      <c r="N22" s="11" t="s">
        <v>282</v>
      </c>
      <c r="O22" s="12">
        <v>210.0</v>
      </c>
      <c r="P22" s="14">
        <v>390190.0</v>
      </c>
      <c r="Q22" s="14">
        <v>0.0</v>
      </c>
      <c r="R22" s="14">
        <v>57000.0</v>
      </c>
      <c r="S22" s="14">
        <v>447190.0</v>
      </c>
      <c r="T22" s="14">
        <v>223595.0</v>
      </c>
      <c r="U22" s="15" t="s">
        <v>283</v>
      </c>
      <c r="V22" s="15">
        <v>49.0</v>
      </c>
      <c r="W22" s="16">
        <v>55000.0</v>
      </c>
      <c r="X22" s="16">
        <v>55000.0</v>
      </c>
      <c r="Y22" s="16">
        <v>45000.0</v>
      </c>
      <c r="Z22" s="16">
        <v>70000.0</v>
      </c>
      <c r="AA22" s="16">
        <v>502190.0</v>
      </c>
      <c r="AB22" s="11" t="s">
        <v>83</v>
      </c>
      <c r="AC22" s="12">
        <v>40.0</v>
      </c>
      <c r="AD22" s="11" t="s">
        <v>149</v>
      </c>
    </row>
    <row r="23" ht="15.75" customHeight="1">
      <c r="A23" s="12" t="s">
        <v>284</v>
      </c>
      <c r="B23" s="12" t="s">
        <v>285</v>
      </c>
      <c r="C23" s="12" t="s">
        <v>286</v>
      </c>
      <c r="D23" s="12" t="s">
        <v>90</v>
      </c>
      <c r="E23" s="12" t="s">
        <v>270</v>
      </c>
      <c r="F23" s="12">
        <v>2.0</v>
      </c>
      <c r="G23" s="12">
        <v>1.0</v>
      </c>
      <c r="H23" s="12">
        <v>1.0</v>
      </c>
      <c r="I23" s="12">
        <v>2.0</v>
      </c>
      <c r="J23" s="11" t="s">
        <v>287</v>
      </c>
      <c r="K23" s="11" t="s">
        <v>288</v>
      </c>
      <c r="L23" s="12" t="s">
        <v>264</v>
      </c>
      <c r="M23" s="11" t="s">
        <v>111</v>
      </c>
      <c r="N23" s="11" t="s">
        <v>289</v>
      </c>
      <c r="O23" s="12">
        <v>120.0</v>
      </c>
      <c r="P23" s="14">
        <v>109600.0</v>
      </c>
      <c r="Q23" s="14">
        <v>0.0</v>
      </c>
      <c r="R23" s="14">
        <v>7500.0</v>
      </c>
      <c r="S23" s="14">
        <v>117100.0</v>
      </c>
      <c r="T23" s="14">
        <v>58550.0</v>
      </c>
      <c r="U23" s="15" t="s">
        <v>290</v>
      </c>
      <c r="V23" s="15">
        <v>49.0</v>
      </c>
      <c r="W23" s="16">
        <v>55000.0</v>
      </c>
      <c r="X23" s="16">
        <v>55000.0</v>
      </c>
      <c r="Y23" s="16">
        <v>45000.0</v>
      </c>
      <c r="Z23" s="16">
        <v>70000.0</v>
      </c>
      <c r="AA23" s="16">
        <v>172100.0</v>
      </c>
      <c r="AB23" s="11" t="s">
        <v>148</v>
      </c>
      <c r="AC23" s="12">
        <v>20.0</v>
      </c>
      <c r="AD23" s="11" t="s">
        <v>102</v>
      </c>
    </row>
    <row r="24" ht="15.75" customHeight="1">
      <c r="A24" s="12" t="s">
        <v>291</v>
      </c>
      <c r="B24" s="12" t="s">
        <v>292</v>
      </c>
      <c r="C24" s="12" t="s">
        <v>293</v>
      </c>
      <c r="D24" s="12" t="s">
        <v>121</v>
      </c>
      <c r="E24" s="12" t="s">
        <v>294</v>
      </c>
      <c r="F24" s="12">
        <v>3.0</v>
      </c>
      <c r="G24" s="12">
        <v>2.0</v>
      </c>
      <c r="H24" s="12">
        <v>0.0</v>
      </c>
      <c r="I24" s="12">
        <v>1.0</v>
      </c>
      <c r="J24" s="11" t="s">
        <v>295</v>
      </c>
      <c r="K24" s="11" t="s">
        <v>44</v>
      </c>
      <c r="L24" s="12" t="s">
        <v>296</v>
      </c>
      <c r="M24" s="11" t="s">
        <v>111</v>
      </c>
      <c r="N24" s="11" t="s">
        <v>297</v>
      </c>
      <c r="O24" s="12">
        <v>2730.0</v>
      </c>
      <c r="P24" s="14">
        <v>287400.0</v>
      </c>
      <c r="Q24" s="14">
        <v>0.0</v>
      </c>
      <c r="R24" s="14">
        <v>121900.0</v>
      </c>
      <c r="S24" s="14">
        <v>409300.0</v>
      </c>
      <c r="T24" s="14">
        <v>409300.0</v>
      </c>
      <c r="U24" s="15" t="s">
        <v>298</v>
      </c>
      <c r="V24" s="15">
        <v>12.0</v>
      </c>
      <c r="W24" s="16">
        <v>24333.0</v>
      </c>
      <c r="X24" s="16">
        <v>48667.0</v>
      </c>
      <c r="Y24" s="16">
        <v>40750.0</v>
      </c>
      <c r="Z24" s="16">
        <v>51000.0</v>
      </c>
      <c r="AA24" s="16">
        <v>457967.0</v>
      </c>
      <c r="AB24" s="11" t="s">
        <v>83</v>
      </c>
      <c r="AC24" s="12">
        <v>30.0</v>
      </c>
      <c r="AD24" s="11" t="s">
        <v>299</v>
      </c>
    </row>
    <row r="25" ht="15.75" customHeight="1">
      <c r="A25" s="12" t="s">
        <v>300</v>
      </c>
      <c r="B25" s="12" t="s">
        <v>301</v>
      </c>
      <c r="C25" s="12" t="s">
        <v>302</v>
      </c>
      <c r="D25" s="12" t="s">
        <v>303</v>
      </c>
      <c r="E25" s="12" t="s">
        <v>304</v>
      </c>
      <c r="F25" s="12">
        <v>3.0</v>
      </c>
      <c r="G25" s="12">
        <v>2.0</v>
      </c>
      <c r="H25" s="12">
        <v>0.0</v>
      </c>
      <c r="I25" s="12">
        <v>1.0</v>
      </c>
      <c r="J25" s="11" t="s">
        <v>305</v>
      </c>
      <c r="K25" s="11" t="s">
        <v>44</v>
      </c>
      <c r="L25" s="12" t="s">
        <v>296</v>
      </c>
      <c r="M25" s="11" t="s">
        <v>111</v>
      </c>
      <c r="N25" s="11" t="s">
        <v>306</v>
      </c>
      <c r="O25" s="12">
        <v>750.0</v>
      </c>
      <c r="P25" s="14">
        <v>106600.0</v>
      </c>
      <c r="Q25" s="14">
        <v>0.0</v>
      </c>
      <c r="R25" s="14">
        <v>8000.0</v>
      </c>
      <c r="S25" s="14">
        <v>114600.0</v>
      </c>
      <c r="T25" s="14">
        <v>114600.0</v>
      </c>
      <c r="U25" s="15" t="s">
        <v>307</v>
      </c>
      <c r="V25" s="15">
        <v>12.0</v>
      </c>
      <c r="W25" s="16">
        <v>24333.0</v>
      </c>
      <c r="X25" s="16">
        <v>48667.0</v>
      </c>
      <c r="Y25" s="16">
        <v>40750.0</v>
      </c>
      <c r="Z25" s="16">
        <v>51000.0</v>
      </c>
      <c r="AA25" s="16">
        <v>163267.0</v>
      </c>
      <c r="AB25" s="11" t="s">
        <v>83</v>
      </c>
      <c r="AC25" s="12">
        <v>30.0</v>
      </c>
      <c r="AD25" s="11" t="s">
        <v>84</v>
      </c>
    </row>
    <row r="26" ht="15.75" customHeight="1">
      <c r="A26" s="12" t="s">
        <v>308</v>
      </c>
      <c r="B26" s="12" t="s">
        <v>309</v>
      </c>
      <c r="C26" s="12" t="s">
        <v>310</v>
      </c>
      <c r="D26" s="12" t="s">
        <v>311</v>
      </c>
      <c r="E26" s="12" t="s">
        <v>312</v>
      </c>
      <c r="F26" s="12">
        <v>2.0</v>
      </c>
      <c r="G26" s="12">
        <v>1.0</v>
      </c>
      <c r="H26" s="12">
        <v>0.0</v>
      </c>
      <c r="I26" s="12">
        <v>1.0</v>
      </c>
      <c r="J26" s="11" t="s">
        <v>313</v>
      </c>
      <c r="K26" s="11" t="s">
        <v>61</v>
      </c>
      <c r="L26" s="12" t="s">
        <v>314</v>
      </c>
      <c r="M26" s="12"/>
      <c r="N26" s="12"/>
      <c r="O26" s="12">
        <v>210.0</v>
      </c>
      <c r="P26" s="14">
        <v>104400.0</v>
      </c>
      <c r="Q26" s="14">
        <v>0.0</v>
      </c>
      <c r="R26" s="14">
        <v>12600.0</v>
      </c>
      <c r="S26" s="14">
        <v>117000.0</v>
      </c>
      <c r="T26" s="14">
        <v>117000.0</v>
      </c>
      <c r="U26" s="15" t="s">
        <v>315</v>
      </c>
      <c r="V26" s="15">
        <v>5.0</v>
      </c>
      <c r="W26" s="16">
        <v>95890.0</v>
      </c>
      <c r="X26" s="16">
        <v>95890.0</v>
      </c>
      <c r="Y26" s="16">
        <v>51988.0</v>
      </c>
      <c r="Z26" s="16">
        <v>99660.0</v>
      </c>
      <c r="AA26" s="16">
        <v>212890.0</v>
      </c>
      <c r="AB26" s="11" t="s">
        <v>83</v>
      </c>
      <c r="AC26" s="12">
        <v>20.0</v>
      </c>
      <c r="AD26" s="11" t="s">
        <v>149</v>
      </c>
    </row>
    <row r="27" ht="15.75" customHeight="1">
      <c r="A27" s="12" t="s">
        <v>316</v>
      </c>
      <c r="B27" s="12" t="s">
        <v>317</v>
      </c>
      <c r="C27" s="12" t="s">
        <v>318</v>
      </c>
      <c r="D27" s="12" t="s">
        <v>319</v>
      </c>
      <c r="E27" s="12" t="s">
        <v>320</v>
      </c>
      <c r="F27" s="12">
        <v>2.0</v>
      </c>
      <c r="G27" s="12">
        <v>1.0</v>
      </c>
      <c r="H27" s="12">
        <v>0.0</v>
      </c>
      <c r="I27" s="12">
        <v>1.0</v>
      </c>
      <c r="J27" s="11" t="s">
        <v>321</v>
      </c>
      <c r="K27" s="11" t="s">
        <v>61</v>
      </c>
      <c r="L27" s="12" t="s">
        <v>314</v>
      </c>
      <c r="M27" s="11" t="s">
        <v>111</v>
      </c>
      <c r="N27" s="11" t="s">
        <v>322</v>
      </c>
      <c r="O27" s="12">
        <v>180.0</v>
      </c>
      <c r="P27" s="14">
        <v>46900.0</v>
      </c>
      <c r="Q27" s="14">
        <v>0.0</v>
      </c>
      <c r="R27" s="14">
        <v>6600.0</v>
      </c>
      <c r="S27" s="14">
        <v>53500.0</v>
      </c>
      <c r="T27" s="14">
        <v>53500.0</v>
      </c>
      <c r="U27" s="15" t="s">
        <v>323</v>
      </c>
      <c r="V27" s="15">
        <v>5.0</v>
      </c>
      <c r="W27" s="16">
        <v>95890.0</v>
      </c>
      <c r="X27" s="16">
        <v>95890.0</v>
      </c>
      <c r="Y27" s="16">
        <v>51988.0</v>
      </c>
      <c r="Z27" s="16">
        <v>99660.0</v>
      </c>
      <c r="AA27" s="16">
        <v>149390.0</v>
      </c>
      <c r="AB27" s="11" t="s">
        <v>148</v>
      </c>
      <c r="AC27" s="12">
        <v>20.0</v>
      </c>
      <c r="AD27" s="11" t="s">
        <v>84</v>
      </c>
    </row>
    <row r="28" ht="15.75" customHeight="1">
      <c r="A28" s="12" t="s">
        <v>324</v>
      </c>
      <c r="B28" s="12" t="s">
        <v>325</v>
      </c>
      <c r="C28" s="12" t="s">
        <v>326</v>
      </c>
      <c r="D28" s="12" t="s">
        <v>327</v>
      </c>
      <c r="E28" s="12" t="s">
        <v>222</v>
      </c>
      <c r="F28" s="12">
        <v>2.0</v>
      </c>
      <c r="G28" s="12">
        <v>1.0</v>
      </c>
      <c r="H28" s="12">
        <v>0.0</v>
      </c>
      <c r="I28" s="12">
        <v>1.0</v>
      </c>
      <c r="J28" s="11" t="s">
        <v>328</v>
      </c>
      <c r="K28" s="11" t="s">
        <v>329</v>
      </c>
      <c r="L28" s="12" t="s">
        <v>330</v>
      </c>
      <c r="M28" s="11" t="s">
        <v>72</v>
      </c>
      <c r="N28" s="11" t="s">
        <v>331</v>
      </c>
      <c r="O28" s="12">
        <v>60.0</v>
      </c>
      <c r="P28" s="14">
        <v>71400.0</v>
      </c>
      <c r="Q28" s="14">
        <v>0.0</v>
      </c>
      <c r="R28" s="14">
        <v>123900.0</v>
      </c>
      <c r="S28" s="14">
        <v>195300.0</v>
      </c>
      <c r="T28" s="14">
        <v>195300.0</v>
      </c>
      <c r="U28" s="15" t="s">
        <v>332</v>
      </c>
      <c r="V28" s="15">
        <v>687.0</v>
      </c>
      <c r="W28" s="16">
        <v>120000.0</v>
      </c>
      <c r="X28" s="16">
        <v>120000.0</v>
      </c>
      <c r="Y28" s="16">
        <v>65000.0</v>
      </c>
      <c r="Z28" s="16">
        <v>204660.0</v>
      </c>
      <c r="AA28" s="16">
        <v>315300.0</v>
      </c>
      <c r="AB28" s="11" t="s">
        <v>83</v>
      </c>
      <c r="AC28" s="12">
        <v>20.0</v>
      </c>
      <c r="AD28" s="11" t="s">
        <v>116</v>
      </c>
    </row>
    <row r="29" ht="15.75" customHeight="1">
      <c r="A29" s="17" t="s">
        <v>333</v>
      </c>
      <c r="B29" s="17">
        <f>COUNTA(B6:B28)</f>
        <v>23</v>
      </c>
      <c r="H29" s="18">
        <f t="shared" ref="H29:I29" si="1">SUM(H6:H28)</f>
        <v>30</v>
      </c>
      <c r="I29" s="18">
        <f t="shared" si="1"/>
        <v>53</v>
      </c>
      <c r="P29" s="18">
        <f t="shared" ref="P29:S29" si="2">SUM(P6:P28)</f>
        <v>3508970</v>
      </c>
      <c r="Q29" s="18">
        <f t="shared" si="2"/>
        <v>657614</v>
      </c>
      <c r="R29" s="18">
        <f t="shared" si="2"/>
        <v>1133420</v>
      </c>
      <c r="S29" s="18">
        <f t="shared" si="2"/>
        <v>5300004</v>
      </c>
      <c r="X29" s="18">
        <f t="shared" ref="X29:AA29" si="3">SUM(X6:X28)</f>
        <v>2879210</v>
      </c>
      <c r="Y29" s="18">
        <f t="shared" si="3"/>
        <v>1907135</v>
      </c>
      <c r="Z29" s="18">
        <f t="shared" si="3"/>
        <v>4317226</v>
      </c>
      <c r="AA29" s="18">
        <f t="shared" si="3"/>
        <v>8179214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D$28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7.0"/>
    <col customWidth="1" min="4" max="6" width="12.0"/>
    <col customWidth="1" min="7" max="7" width="24.0"/>
    <col customWidth="1" min="8" max="26" width="8.71"/>
  </cols>
  <sheetData>
    <row r="1">
      <c r="A1" s="3" t="s">
        <v>2</v>
      </c>
    </row>
    <row r="2">
      <c r="A2" s="6" t="s">
        <v>7</v>
      </c>
    </row>
    <row r="4">
      <c r="A4" s="8" t="s">
        <v>10</v>
      </c>
      <c r="B4" s="8" t="s">
        <v>13</v>
      </c>
      <c r="C4" s="10" t="s">
        <v>16</v>
      </c>
      <c r="D4" s="8" t="s">
        <v>18</v>
      </c>
      <c r="E4" s="10" t="s">
        <v>19</v>
      </c>
      <c r="F4" s="10" t="s">
        <v>21</v>
      </c>
      <c r="G4" s="8" t="s">
        <v>23</v>
      </c>
    </row>
    <row r="5">
      <c r="A5" s="11" t="s">
        <v>30</v>
      </c>
      <c r="B5" s="12" t="s">
        <v>38</v>
      </c>
      <c r="C5" s="12">
        <v>1.0</v>
      </c>
      <c r="D5" s="14">
        <v>100000.0</v>
      </c>
      <c r="E5" s="14">
        <v>100000.0</v>
      </c>
      <c r="F5" s="14">
        <v>100000.0</v>
      </c>
      <c r="G5" s="11" t="s">
        <v>43</v>
      </c>
    </row>
    <row r="6">
      <c r="A6" s="11" t="s">
        <v>44</v>
      </c>
      <c r="B6" s="12" t="s">
        <v>48</v>
      </c>
      <c r="C6" s="12">
        <v>12.0</v>
      </c>
      <c r="D6" s="14">
        <v>24333.0</v>
      </c>
      <c r="E6" s="14">
        <v>20375.0</v>
      </c>
      <c r="F6" s="14">
        <v>25500.0</v>
      </c>
      <c r="G6" s="11" t="s">
        <v>49</v>
      </c>
    </row>
    <row r="7">
      <c r="A7" s="11" t="s">
        <v>44</v>
      </c>
      <c r="B7" s="12" t="s">
        <v>52</v>
      </c>
      <c r="C7" s="12">
        <v>9.0</v>
      </c>
      <c r="D7" s="14">
        <v>110000.0</v>
      </c>
      <c r="E7" s="14">
        <v>70000.0</v>
      </c>
      <c r="F7" s="14">
        <v>135780.0</v>
      </c>
      <c r="G7" s="11" t="s">
        <v>49</v>
      </c>
    </row>
    <row r="8">
      <c r="A8" s="11" t="s">
        <v>44</v>
      </c>
      <c r="B8" s="12" t="s">
        <v>57</v>
      </c>
      <c r="C8" s="12">
        <v>1.0</v>
      </c>
      <c r="D8" s="14">
        <v>168362.0</v>
      </c>
      <c r="E8" s="14">
        <v>168362.0</v>
      </c>
      <c r="F8" s="14">
        <v>168362.0</v>
      </c>
      <c r="G8" s="11" t="s">
        <v>43</v>
      </c>
    </row>
    <row r="9">
      <c r="A9" s="11" t="s">
        <v>61</v>
      </c>
      <c r="B9" s="12" t="s">
        <v>66</v>
      </c>
      <c r="C9" s="12">
        <v>5.0</v>
      </c>
      <c r="D9" s="14">
        <v>95890.0</v>
      </c>
      <c r="E9" s="14">
        <v>51988.0</v>
      </c>
      <c r="F9" s="14">
        <v>99660.0</v>
      </c>
      <c r="G9" s="11" t="s">
        <v>49</v>
      </c>
    </row>
    <row r="10">
      <c r="A10" s="11" t="s">
        <v>61</v>
      </c>
      <c r="B10" s="12" t="s">
        <v>68</v>
      </c>
      <c r="C10" s="12">
        <v>12.0</v>
      </c>
      <c r="D10" s="14">
        <v>93966.0</v>
      </c>
      <c r="E10" s="14">
        <v>67250.0</v>
      </c>
      <c r="F10" s="14">
        <v>117033.0</v>
      </c>
      <c r="G10" s="11" t="s">
        <v>49</v>
      </c>
    </row>
    <row r="11">
      <c r="A11" s="11" t="s">
        <v>61</v>
      </c>
      <c r="B11" s="12" t="s">
        <v>73</v>
      </c>
      <c r="C11" s="12">
        <v>6.0</v>
      </c>
      <c r="D11" s="14">
        <v>58314.0</v>
      </c>
      <c r="E11" s="14">
        <v>37500.0</v>
      </c>
      <c r="F11" s="14">
        <v>92907.0</v>
      </c>
      <c r="G11" s="11" t="s">
        <v>49</v>
      </c>
    </row>
    <row r="12">
      <c r="A12" s="11" t="s">
        <v>61</v>
      </c>
      <c r="B12" s="12" t="s">
        <v>76</v>
      </c>
      <c r="C12" s="12">
        <v>2.0</v>
      </c>
      <c r="D12" s="14">
        <v>255500.0</v>
      </c>
      <c r="E12" s="14">
        <v>235250.0</v>
      </c>
      <c r="F12" s="14">
        <v>275750.0</v>
      </c>
      <c r="G12" s="11" t="s">
        <v>43</v>
      </c>
    </row>
    <row r="13">
      <c r="A13" s="11" t="s">
        <v>79</v>
      </c>
      <c r="B13" s="12" t="s">
        <v>80</v>
      </c>
      <c r="C13" s="12">
        <v>20.0</v>
      </c>
      <c r="D13" s="14">
        <v>45750.0</v>
      </c>
      <c r="E13" s="14">
        <v>36750.0</v>
      </c>
      <c r="F13" s="14">
        <v>72350.0</v>
      </c>
      <c r="G13" s="11" t="s">
        <v>49</v>
      </c>
    </row>
    <row r="14">
      <c r="A14" s="11" t="s">
        <v>82</v>
      </c>
      <c r="B14" s="12" t="s">
        <v>85</v>
      </c>
      <c r="C14" s="12">
        <v>49.0</v>
      </c>
      <c r="D14" s="14">
        <v>55000.0</v>
      </c>
      <c r="E14" s="14">
        <v>45000.0</v>
      </c>
      <c r="F14" s="14">
        <v>70000.0</v>
      </c>
      <c r="G14" s="11" t="s">
        <v>49</v>
      </c>
    </row>
    <row r="15">
      <c r="A15" s="11" t="s">
        <v>91</v>
      </c>
      <c r="B15" s="12" t="s">
        <v>95</v>
      </c>
      <c r="C15" s="12">
        <v>7.0</v>
      </c>
      <c r="D15" s="14">
        <v>60000.0</v>
      </c>
      <c r="E15" s="14">
        <v>57500.0</v>
      </c>
      <c r="F15" s="14">
        <v>82500.0</v>
      </c>
      <c r="G15" s="11" t="s">
        <v>49</v>
      </c>
    </row>
    <row r="16">
      <c r="A16" s="11" t="s">
        <v>98</v>
      </c>
      <c r="B16" s="12" t="s">
        <v>100</v>
      </c>
      <c r="C16" s="12">
        <v>2.0</v>
      </c>
      <c r="D16" s="14">
        <v>79587.0</v>
      </c>
      <c r="E16" s="14">
        <v>64380.0</v>
      </c>
      <c r="F16" s="14">
        <v>94794.0</v>
      </c>
      <c r="G16" s="11" t="s">
        <v>43</v>
      </c>
    </row>
    <row r="17">
      <c r="A17" s="11" t="s">
        <v>103</v>
      </c>
      <c r="B17" s="12" t="s">
        <v>104</v>
      </c>
      <c r="C17" s="12">
        <v>3.0</v>
      </c>
      <c r="D17" s="14">
        <v>149033.0</v>
      </c>
      <c r="E17" s="14">
        <v>109516.0</v>
      </c>
      <c r="F17" s="14">
        <v>164516.0</v>
      </c>
      <c r="G17" s="11" t="s">
        <v>43</v>
      </c>
    </row>
    <row r="18">
      <c r="A18" s="11" t="s">
        <v>103</v>
      </c>
      <c r="B18" s="12" t="s">
        <v>110</v>
      </c>
      <c r="C18" s="12">
        <v>1.0</v>
      </c>
      <c r="D18" s="14">
        <v>210000.0</v>
      </c>
      <c r="E18" s="14">
        <v>210000.0</v>
      </c>
      <c r="F18" s="14">
        <v>210000.0</v>
      </c>
      <c r="G18" s="11" t="s">
        <v>43</v>
      </c>
    </row>
    <row r="19">
      <c r="A19" s="11" t="s">
        <v>113</v>
      </c>
      <c r="B19" s="12" t="s">
        <v>115</v>
      </c>
      <c r="C19" s="12">
        <v>6.0</v>
      </c>
      <c r="D19" s="14">
        <v>90000.0</v>
      </c>
      <c r="E19" s="14">
        <v>25500.0</v>
      </c>
      <c r="F19" s="14">
        <v>187500.0</v>
      </c>
      <c r="G19" s="11" t="s">
        <v>49</v>
      </c>
    </row>
    <row r="20">
      <c r="A20" s="11" t="s">
        <v>124</v>
      </c>
      <c r="B20" s="12" t="s">
        <v>126</v>
      </c>
      <c r="C20" s="12">
        <v>37.0</v>
      </c>
      <c r="D20" s="14">
        <v>126000.0</v>
      </c>
      <c r="E20" s="14">
        <v>60000.0</v>
      </c>
      <c r="F20" s="14">
        <v>167000.0</v>
      </c>
      <c r="G20" s="11" t="s">
        <v>49</v>
      </c>
    </row>
    <row r="21" ht="15.75" customHeight="1">
      <c r="A21" s="11" t="s">
        <v>129</v>
      </c>
      <c r="B21" s="12" t="s">
        <v>130</v>
      </c>
      <c r="C21" s="12">
        <v>39.0</v>
      </c>
      <c r="D21" s="14">
        <v>70000.0</v>
      </c>
      <c r="E21" s="14">
        <v>45000.0</v>
      </c>
      <c r="F21" s="14">
        <v>163866.0</v>
      </c>
      <c r="G21" s="11" t="s">
        <v>49</v>
      </c>
    </row>
    <row r="22" ht="15.75" customHeight="1">
      <c r="A22" s="11" t="s">
        <v>141</v>
      </c>
      <c r="B22" s="12" t="s">
        <v>143</v>
      </c>
      <c r="C22" s="12">
        <v>14.0</v>
      </c>
      <c r="D22" s="14">
        <v>179480.0</v>
      </c>
      <c r="E22" s="14">
        <v>101375.0</v>
      </c>
      <c r="F22" s="14">
        <v>270000.0</v>
      </c>
      <c r="G22" s="11" t="s">
        <v>49</v>
      </c>
    </row>
    <row r="23" ht="15.75" customHeight="1">
      <c r="A23" s="11" t="s">
        <v>144</v>
      </c>
      <c r="B23" s="12" t="s">
        <v>147</v>
      </c>
      <c r="C23" s="12">
        <v>2.0</v>
      </c>
      <c r="D23" s="14">
        <v>64000.0</v>
      </c>
      <c r="E23" s="14">
        <v>61000.0</v>
      </c>
      <c r="F23" s="14">
        <v>67000.0</v>
      </c>
      <c r="G23" s="11" t="s">
        <v>43</v>
      </c>
    </row>
    <row r="24" ht="15.75" customHeight="1">
      <c r="A24" s="11" t="s">
        <v>144</v>
      </c>
      <c r="B24" s="12" t="s">
        <v>151</v>
      </c>
      <c r="C24" s="12">
        <v>5.0</v>
      </c>
      <c r="D24" s="14">
        <v>58000.0</v>
      </c>
      <c r="E24" s="14">
        <v>45000.0</v>
      </c>
      <c r="F24" s="14">
        <v>170000.0</v>
      </c>
      <c r="G24" s="11" t="s">
        <v>49</v>
      </c>
    </row>
    <row r="25" ht="15.75" customHeight="1">
      <c r="A25" s="11" t="s">
        <v>144</v>
      </c>
      <c r="B25" s="12" t="s">
        <v>162</v>
      </c>
      <c r="C25" s="12">
        <v>3.0</v>
      </c>
      <c r="D25" s="14">
        <v>130000.0</v>
      </c>
      <c r="E25" s="14">
        <v>110000.0</v>
      </c>
      <c r="F25" s="14">
        <v>132000.0</v>
      </c>
      <c r="G25" s="11" t="s">
        <v>43</v>
      </c>
    </row>
    <row r="26" ht="15.75" customHeight="1">
      <c r="A26" s="11" t="s">
        <v>165</v>
      </c>
      <c r="B26" s="12" t="s">
        <v>168</v>
      </c>
      <c r="C26" s="12">
        <v>2.0</v>
      </c>
      <c r="D26" s="14">
        <v>218500.0</v>
      </c>
      <c r="E26" s="14">
        <v>169250.0</v>
      </c>
      <c r="F26" s="14">
        <v>267750.0</v>
      </c>
      <c r="G26" s="11" t="s">
        <v>43</v>
      </c>
    </row>
    <row r="27" ht="15.75" customHeight="1">
      <c r="A27" s="11" t="s">
        <v>165</v>
      </c>
      <c r="B27" s="12" t="s">
        <v>174</v>
      </c>
      <c r="C27" s="12">
        <v>3.0</v>
      </c>
      <c r="D27" s="14">
        <v>173295.0</v>
      </c>
      <c r="E27" s="14">
        <v>161648.0</v>
      </c>
      <c r="F27" s="14">
        <v>222648.0</v>
      </c>
      <c r="G27" s="11" t="s">
        <v>43</v>
      </c>
    </row>
    <row r="28" ht="15.75" customHeight="1">
      <c r="A28" s="11" t="s">
        <v>165</v>
      </c>
      <c r="B28" s="12" t="s">
        <v>178</v>
      </c>
      <c r="C28" s="12">
        <v>3.0</v>
      </c>
      <c r="D28" s="14">
        <v>370000.0</v>
      </c>
      <c r="E28" s="14">
        <v>335000.0</v>
      </c>
      <c r="F28" s="14">
        <v>477500.0</v>
      </c>
      <c r="G28" s="11" t="s">
        <v>43</v>
      </c>
    </row>
    <row r="29" ht="15.75" customHeight="1">
      <c r="A29" s="11" t="s">
        <v>180</v>
      </c>
      <c r="B29" s="12" t="s">
        <v>187</v>
      </c>
      <c r="C29" s="12">
        <v>2.0</v>
      </c>
      <c r="D29" s="14">
        <v>139341.0</v>
      </c>
      <c r="E29" s="14">
        <v>103420.0</v>
      </c>
      <c r="F29" s="14">
        <v>175262.0</v>
      </c>
      <c r="G29" s="11" t="s">
        <v>43</v>
      </c>
    </row>
    <row r="30" ht="15.75" customHeight="1">
      <c r="A30" s="11" t="s">
        <v>191</v>
      </c>
      <c r="B30" s="12" t="s">
        <v>192</v>
      </c>
      <c r="C30" s="12">
        <v>6.0</v>
      </c>
      <c r="D30" s="14">
        <v>60000.0</v>
      </c>
      <c r="E30" s="14">
        <v>60000.0</v>
      </c>
      <c r="F30" s="14">
        <v>136800.0</v>
      </c>
      <c r="G30" s="11" t="s">
        <v>49</v>
      </c>
    </row>
    <row r="31" ht="15.75" customHeight="1">
      <c r="A31" s="11" t="s">
        <v>195</v>
      </c>
      <c r="B31" s="12" t="s">
        <v>200</v>
      </c>
      <c r="C31" s="12">
        <v>23.0</v>
      </c>
      <c r="D31" s="14">
        <v>152700.0</v>
      </c>
      <c r="E31" s="14">
        <v>99334.0</v>
      </c>
      <c r="F31" s="14">
        <v>315800.0</v>
      </c>
      <c r="G31" s="11" t="s">
        <v>49</v>
      </c>
    </row>
    <row r="32" ht="15.75" customHeight="1">
      <c r="A32" s="11" t="s">
        <v>203</v>
      </c>
      <c r="B32" s="12" t="s">
        <v>205</v>
      </c>
      <c r="C32" s="12">
        <v>6.0</v>
      </c>
      <c r="D32" s="14">
        <v>204585.0</v>
      </c>
      <c r="E32" s="14">
        <v>172099.0</v>
      </c>
      <c r="F32" s="14">
        <v>265792.0</v>
      </c>
      <c r="G32" s="11" t="s">
        <v>49</v>
      </c>
    </row>
    <row r="33" ht="15.75" customHeight="1">
      <c r="A33" s="11" t="s">
        <v>158</v>
      </c>
      <c r="B33" s="12" t="s">
        <v>207</v>
      </c>
      <c r="C33" s="12">
        <v>2.0</v>
      </c>
      <c r="D33" s="14">
        <v>255045.0</v>
      </c>
      <c r="E33" s="14">
        <v>218068.0</v>
      </c>
      <c r="F33" s="14">
        <v>292022.0</v>
      </c>
      <c r="G33" s="11" t="s">
        <v>43</v>
      </c>
    </row>
    <row r="34" ht="15.75" customHeight="1">
      <c r="A34" s="11" t="s">
        <v>158</v>
      </c>
      <c r="B34" s="12" t="s">
        <v>211</v>
      </c>
      <c r="C34" s="12">
        <v>44.0</v>
      </c>
      <c r="D34" s="14">
        <v>147330.0</v>
      </c>
      <c r="E34" s="14">
        <v>111425.0</v>
      </c>
      <c r="F34" s="14">
        <v>198491.0</v>
      </c>
      <c r="G34" s="11" t="s">
        <v>49</v>
      </c>
    </row>
    <row r="35" ht="15.75" customHeight="1">
      <c r="A35" s="11" t="s">
        <v>158</v>
      </c>
      <c r="B35" s="12" t="s">
        <v>213</v>
      </c>
      <c r="C35" s="12">
        <v>28.0</v>
      </c>
      <c r="D35" s="14">
        <v>210000.0</v>
      </c>
      <c r="E35" s="14">
        <v>117475.0</v>
      </c>
      <c r="F35" s="14">
        <v>291750.0</v>
      </c>
      <c r="G35" s="11" t="s">
        <v>49</v>
      </c>
    </row>
    <row r="36" ht="15.75" customHeight="1">
      <c r="A36" s="11" t="s">
        <v>158</v>
      </c>
      <c r="B36" s="12" t="s">
        <v>216</v>
      </c>
      <c r="C36" s="12">
        <v>39.0</v>
      </c>
      <c r="D36" s="14">
        <v>380000.0</v>
      </c>
      <c r="E36" s="14">
        <v>278050.0</v>
      </c>
      <c r="F36" s="14">
        <v>530000.0</v>
      </c>
      <c r="G36" s="11" t="s">
        <v>49</v>
      </c>
    </row>
    <row r="37" ht="15.75" customHeight="1">
      <c r="A37" s="11" t="s">
        <v>93</v>
      </c>
      <c r="B37" s="12" t="s">
        <v>220</v>
      </c>
      <c r="C37" s="12">
        <v>46.0</v>
      </c>
      <c r="D37" s="14">
        <v>87052.0</v>
      </c>
      <c r="E37" s="14">
        <v>65561.0</v>
      </c>
      <c r="F37" s="14">
        <v>133750.0</v>
      </c>
      <c r="G37" s="11" t="s">
        <v>49</v>
      </c>
    </row>
    <row r="38" ht="15.75" customHeight="1">
      <c r="A38" s="11" t="s">
        <v>93</v>
      </c>
      <c r="B38" s="12" t="s">
        <v>225</v>
      </c>
      <c r="C38" s="12">
        <v>178.0</v>
      </c>
      <c r="D38" s="14">
        <v>123000.0</v>
      </c>
      <c r="E38" s="14">
        <v>77334.0</v>
      </c>
      <c r="F38" s="14">
        <v>199914.0</v>
      </c>
      <c r="G38" s="11" t="s">
        <v>49</v>
      </c>
    </row>
    <row r="39" ht="15.75" customHeight="1">
      <c r="A39" s="11" t="s">
        <v>93</v>
      </c>
      <c r="B39" s="12" t="s">
        <v>228</v>
      </c>
      <c r="C39" s="12">
        <v>66.0</v>
      </c>
      <c r="D39" s="14">
        <v>172306.0</v>
      </c>
      <c r="E39" s="14">
        <v>120124.0</v>
      </c>
      <c r="F39" s="14">
        <v>247455.0</v>
      </c>
      <c r="G39" s="11" t="s">
        <v>49</v>
      </c>
    </row>
    <row r="40" ht="15.75" customHeight="1">
      <c r="A40" s="11" t="s">
        <v>93</v>
      </c>
      <c r="B40" s="12" t="s">
        <v>232</v>
      </c>
      <c r="C40" s="12">
        <v>3.0</v>
      </c>
      <c r="D40" s="14">
        <v>299000.0</v>
      </c>
      <c r="E40" s="14">
        <v>295311.0</v>
      </c>
      <c r="F40" s="14">
        <v>325500.0</v>
      </c>
      <c r="G40" s="11" t="s">
        <v>43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0</v>
      </c>
    </row>
    <row r="2">
      <c r="A2" s="2"/>
    </row>
    <row r="3">
      <c r="A3" s="4" t="s">
        <v>3</v>
      </c>
    </row>
    <row r="4">
      <c r="A4" s="2" t="s">
        <v>5</v>
      </c>
    </row>
    <row r="5">
      <c r="A5" s="2" t="s">
        <v>8</v>
      </c>
    </row>
    <row r="6">
      <c r="A6" s="2" t="s">
        <v>11</v>
      </c>
    </row>
    <row r="7">
      <c r="A7" s="2"/>
    </row>
    <row r="8">
      <c r="A8" s="4" t="s">
        <v>17</v>
      </c>
    </row>
    <row r="9">
      <c r="A9" s="2" t="s">
        <v>32</v>
      </c>
    </row>
    <row r="10">
      <c r="A10" s="2" t="s">
        <v>40</v>
      </c>
    </row>
    <row r="11">
      <c r="A11" s="2" t="s">
        <v>46</v>
      </c>
    </row>
    <row r="12">
      <c r="A12" s="2" t="s">
        <v>51</v>
      </c>
    </row>
    <row r="13">
      <c r="A13" s="2" t="s">
        <v>59</v>
      </c>
    </row>
    <row r="14">
      <c r="A14" s="2" t="s">
        <v>69</v>
      </c>
    </row>
    <row r="15">
      <c r="A15" s="2"/>
    </row>
    <row r="16">
      <c r="A16" s="4" t="s">
        <v>74</v>
      </c>
    </row>
    <row r="17">
      <c r="A17" s="2" t="s">
        <v>78</v>
      </c>
    </row>
    <row r="18">
      <c r="A18" s="2" t="s">
        <v>81</v>
      </c>
    </row>
    <row r="19">
      <c r="A19" s="2" t="s">
        <v>97</v>
      </c>
    </row>
    <row r="20">
      <c r="A20" s="2" t="s">
        <v>101</v>
      </c>
    </row>
    <row r="21" ht="15.75" customHeight="1">
      <c r="A21" s="2"/>
    </row>
    <row r="22" ht="15.75" customHeight="1">
      <c r="A22" s="4" t="s">
        <v>106</v>
      </c>
    </row>
    <row r="23" ht="15.75" customHeight="1">
      <c r="A23" s="2" t="s">
        <v>117</v>
      </c>
    </row>
    <row r="24" ht="15.75" customHeight="1">
      <c r="A24" s="2" t="s">
        <v>122</v>
      </c>
    </row>
    <row r="25" ht="15.75" customHeight="1">
      <c r="A25" s="2" t="s">
        <v>127</v>
      </c>
    </row>
    <row r="26" ht="15.75" customHeight="1">
      <c r="A26" s="2" t="s">
        <v>131</v>
      </c>
    </row>
    <row r="27" ht="15.75" customHeight="1">
      <c r="A27" s="2"/>
    </row>
    <row r="28" ht="15.75" customHeight="1">
      <c r="A28" s="4" t="s">
        <v>138</v>
      </c>
    </row>
    <row r="29" ht="15.75" customHeight="1">
      <c r="A29" s="2" t="s">
        <v>146</v>
      </c>
    </row>
    <row r="30" ht="15.75" customHeight="1">
      <c r="A30" s="2" t="s">
        <v>152</v>
      </c>
    </row>
    <row r="31" ht="15.75" customHeight="1">
      <c r="A31" s="2" t="s">
        <v>160</v>
      </c>
    </row>
    <row r="32" ht="15.75" customHeight="1">
      <c r="A32" s="2" t="s">
        <v>164</v>
      </c>
    </row>
    <row r="33" ht="15.75" customHeight="1">
      <c r="A33" s="2"/>
    </row>
    <row r="34" ht="15.75" customHeight="1">
      <c r="A34" s="4" t="s">
        <v>166</v>
      </c>
    </row>
    <row r="35" ht="15.75" customHeight="1">
      <c r="A35" s="2" t="s">
        <v>176</v>
      </c>
    </row>
    <row r="36" ht="15.75" customHeight="1">
      <c r="A36" s="2" t="s">
        <v>179</v>
      </c>
    </row>
    <row r="37" ht="15.75" customHeight="1">
      <c r="A37" s="2" t="s">
        <v>186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