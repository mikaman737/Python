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최정태\Downloads\"/>
    </mc:Choice>
  </mc:AlternateContent>
  <xr:revisionPtr revIDLastSave="0" documentId="13_ncr:1_{F0D99401-2D7F-4BEA-AB71-1CAD6D583FA9}" xr6:coauthVersionLast="47" xr6:coauthVersionMax="47" xr10:uidLastSave="{00000000-0000-0000-0000-000000000000}"/>
  <bookViews>
    <workbookView xWindow="9555" yWindow="-45" windowWidth="19290" windowHeight="10170" tabRatio="500" activeTab="1" xr2:uid="{00000000-000D-0000-FFFF-FFFF00000000}"/>
  </bookViews>
  <sheets>
    <sheet name="페르소나_100" sheetId="1" r:id="rId1"/>
    <sheet name="Sheet1" sheetId="4" r:id="rId2"/>
    <sheet name="요약_분포" sheetId="2" r:id="rId3"/>
    <sheet name="생성방법_한계" sheetId="3" r:id="rId4"/>
  </sheets>
  <definedNames>
    <definedName name="_xlnm._FilterDatabase" localSheetId="0" hidden="1">페르소나_100!$A$1:$V$101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9" i="2" l="1"/>
  <c r="B108" i="2"/>
  <c r="B107" i="2"/>
  <c r="B106" i="2"/>
  <c r="B105" i="2"/>
  <c r="B104" i="2"/>
  <c r="B101" i="2"/>
  <c r="C101" i="2" s="1"/>
  <c r="B100" i="2"/>
  <c r="C100" i="2" s="1"/>
  <c r="B99" i="2"/>
  <c r="C99" i="2" s="1"/>
  <c r="C95" i="2"/>
  <c r="B95" i="2"/>
  <c r="B94" i="2"/>
  <c r="C94" i="2" s="1"/>
  <c r="B93" i="2"/>
  <c r="C93" i="2" s="1"/>
  <c r="B92" i="2"/>
  <c r="C92" i="2" s="1"/>
  <c r="B88" i="2"/>
  <c r="C88" i="2" s="1"/>
  <c r="B87" i="2"/>
  <c r="C87" i="2" s="1"/>
  <c r="C86" i="2"/>
  <c r="B86" i="2"/>
  <c r="B85" i="2"/>
  <c r="C85" i="2" s="1"/>
  <c r="B84" i="2"/>
  <c r="C84" i="2" s="1"/>
  <c r="B83" i="2"/>
  <c r="C83" i="2" s="1"/>
  <c r="B79" i="2"/>
  <c r="C79" i="2" s="1"/>
  <c r="B78" i="2"/>
  <c r="C78" i="2" s="1"/>
  <c r="C77" i="2"/>
  <c r="B77" i="2"/>
  <c r="B76" i="2"/>
  <c r="C76" i="2" s="1"/>
  <c r="B75" i="2"/>
  <c r="C75" i="2" s="1"/>
  <c r="B74" i="2"/>
  <c r="C74" i="2" s="1"/>
  <c r="B70" i="2"/>
  <c r="C70" i="2" s="1"/>
  <c r="B69" i="2"/>
  <c r="C69" i="2" s="1"/>
  <c r="C68" i="2"/>
  <c r="B68" i="2"/>
  <c r="B67" i="2"/>
  <c r="C67" i="2" s="1"/>
  <c r="B66" i="2"/>
  <c r="C66" i="2" s="1"/>
  <c r="B65" i="2"/>
  <c r="C65" i="2" s="1"/>
  <c r="B64" i="2"/>
  <c r="C64" i="2" s="1"/>
  <c r="B63" i="2"/>
  <c r="C63" i="2" s="1"/>
  <c r="C62" i="2"/>
  <c r="B62" i="2"/>
  <c r="B61" i="2"/>
  <c r="C61" i="2" s="1"/>
  <c r="B60" i="2"/>
  <c r="C60" i="2" s="1"/>
  <c r="B59" i="2"/>
  <c r="C59" i="2" s="1"/>
  <c r="B55" i="2"/>
  <c r="C55" i="2" s="1"/>
  <c r="B54" i="2"/>
  <c r="C54" i="2" s="1"/>
  <c r="C53" i="2"/>
  <c r="B53" i="2"/>
  <c r="B52" i="2"/>
  <c r="C52" i="2" s="1"/>
  <c r="B51" i="2"/>
  <c r="C51" i="2" s="1"/>
  <c r="B50" i="2"/>
  <c r="C50" i="2" s="1"/>
  <c r="B49" i="2"/>
  <c r="C49" i="2" s="1"/>
  <c r="B48" i="2"/>
  <c r="C48" i="2" s="1"/>
  <c r="C47" i="2"/>
  <c r="B47" i="2"/>
  <c r="B46" i="2"/>
  <c r="C46" i="2" s="1"/>
  <c r="B45" i="2"/>
  <c r="C45" i="2" s="1"/>
  <c r="B44" i="2"/>
  <c r="C44" i="2" s="1"/>
  <c r="B40" i="2"/>
  <c r="C40" i="2" s="1"/>
  <c r="B39" i="2"/>
  <c r="C39" i="2" s="1"/>
  <c r="C38" i="2"/>
  <c r="B38" i="2"/>
  <c r="B37" i="2"/>
  <c r="C37" i="2" s="1"/>
  <c r="B36" i="2"/>
  <c r="C36" i="2" s="1"/>
  <c r="B35" i="2"/>
  <c r="C35" i="2" s="1"/>
  <c r="B34" i="2"/>
  <c r="C34" i="2" s="1"/>
  <c r="B33" i="2"/>
  <c r="C33" i="2" s="1"/>
  <c r="C32" i="2"/>
  <c r="B32" i="2"/>
  <c r="B31" i="2"/>
  <c r="C31" i="2" s="1"/>
  <c r="B30" i="2"/>
  <c r="C30" i="2" s="1"/>
  <c r="B26" i="2"/>
  <c r="C26" i="2" s="1"/>
  <c r="B25" i="2"/>
  <c r="C25" i="2" s="1"/>
  <c r="B24" i="2"/>
  <c r="C24" i="2" s="1"/>
  <c r="C23" i="2"/>
  <c r="B23" i="2"/>
  <c r="B22" i="2"/>
  <c r="C22" i="2" s="1"/>
  <c r="B21" i="2"/>
  <c r="C21" i="2" s="1"/>
  <c r="B20" i="2"/>
  <c r="C20" i="2" s="1"/>
  <c r="B19" i="2"/>
  <c r="C19" i="2" s="1"/>
  <c r="B18" i="2"/>
  <c r="C18" i="2" s="1"/>
  <c r="C17" i="2"/>
  <c r="B17" i="2"/>
  <c r="B16" i="2"/>
  <c r="C16" i="2" s="1"/>
  <c r="B15" i="2"/>
  <c r="C15" i="2" s="1"/>
  <c r="B14" i="2"/>
  <c r="C14" i="2" s="1"/>
  <c r="B10" i="2"/>
  <c r="C10" i="2" s="1"/>
  <c r="B9" i="2"/>
  <c r="C9" i="2" s="1"/>
  <c r="B8" i="2"/>
  <c r="C8" i="2" s="1"/>
  <c r="B7" i="2"/>
  <c r="C7" i="2" s="1"/>
  <c r="B6" i="2"/>
  <c r="C6" i="2" s="1"/>
</calcChain>
</file>

<file path=xl/sharedStrings.xml><?xml version="1.0" encoding="utf-8"?>
<sst xmlns="http://schemas.openxmlformats.org/spreadsheetml/2006/main" count="1993" uniqueCount="467">
  <si>
    <r>
      <rPr>
        <b/>
        <sz val="10"/>
        <color rgb="FFFFFFFF"/>
        <rFont val="Noto Sans CJK SC"/>
        <family val="2"/>
      </rPr>
      <t>페르소나</t>
    </r>
    <r>
      <rPr>
        <b/>
        <sz val="10"/>
        <color rgb="FFFFFFFF"/>
        <rFont val="Arial"/>
        <family val="2"/>
      </rPr>
      <t>ID</t>
    </r>
  </si>
  <si>
    <t>성별</t>
  </si>
  <si>
    <t>연령</t>
  </si>
  <si>
    <t>사는 지역</t>
  </si>
  <si>
    <t>선호하는 숙소 유형</t>
  </si>
  <si>
    <t>소득 수준</t>
  </si>
  <si>
    <t>국내 여행 횟수</t>
  </si>
  <si>
    <t>혼인 유무</t>
  </si>
  <si>
    <t>부양 가족 수</t>
  </si>
  <si>
    <t>직업</t>
  </si>
  <si>
    <t>결제방식</t>
  </si>
  <si>
    <r>
      <rPr>
        <b/>
        <sz val="10"/>
        <color rgb="FFFFFFFF"/>
        <rFont val="Noto Sans CJK SC"/>
        <family val="2"/>
      </rPr>
      <t>방문활동</t>
    </r>
    <r>
      <rPr>
        <b/>
        <sz val="10"/>
        <color rgb="FFFFFFFF"/>
        <rFont val="Arial"/>
        <family val="2"/>
      </rPr>
      <t>(ACT)</t>
    </r>
  </si>
  <si>
    <r>
      <rPr>
        <b/>
        <sz val="10"/>
        <color rgb="FFFFFFFF"/>
        <rFont val="Noto Sans CJK SC"/>
        <family val="2"/>
      </rPr>
      <t>방문지유형</t>
    </r>
    <r>
      <rPr>
        <b/>
        <sz val="10"/>
        <color rgb="FFFFFFFF"/>
        <rFont val="Arial"/>
        <family val="2"/>
      </rPr>
      <t>(VIS)</t>
    </r>
  </si>
  <si>
    <r>
      <rPr>
        <b/>
        <sz val="10"/>
        <color rgb="FFFFFFFF"/>
        <rFont val="Arial"/>
        <family val="2"/>
      </rPr>
      <t>1</t>
    </r>
    <r>
      <rPr>
        <b/>
        <sz val="10"/>
        <color rgb="FFFFFFFF"/>
        <rFont val="Noto Sans CJK SC"/>
        <family val="2"/>
      </rPr>
      <t>번 여행 시 소비 금액</t>
    </r>
  </si>
  <si>
    <t>주 이동수단</t>
  </si>
  <si>
    <t>여행 목적</t>
  </si>
  <si>
    <t>여행 일수</t>
  </si>
  <si>
    <t>재방문 의향 점수</t>
  </si>
  <si>
    <t>방문 순서</t>
  </si>
  <si>
    <t>추천 의향 점수</t>
  </si>
  <si>
    <r>
      <rPr>
        <b/>
        <sz val="10"/>
        <color rgb="FFFFFFFF"/>
        <rFont val="Arial"/>
        <family val="2"/>
      </rPr>
      <t>[</t>
    </r>
    <r>
      <rPr>
        <b/>
        <sz val="10"/>
        <color rgb="FFFFFFFF"/>
        <rFont val="Noto Sans CJK SC"/>
        <family val="2"/>
      </rPr>
      <t>참고</t>
    </r>
    <r>
      <rPr>
        <b/>
        <sz val="10"/>
        <color rgb="FFFFFFFF"/>
        <rFont val="Arial"/>
        <family val="2"/>
      </rPr>
      <t xml:space="preserve">] </t>
    </r>
    <r>
      <rPr>
        <b/>
        <sz val="10"/>
        <color rgb="FFFFFFFF"/>
        <rFont val="Noto Sans CJK SC"/>
        <family val="2"/>
      </rPr>
      <t>주요 여행지</t>
    </r>
  </si>
  <si>
    <r>
      <rPr>
        <b/>
        <sz val="10"/>
        <color rgb="FFFFFFFF"/>
        <rFont val="Arial"/>
        <family val="2"/>
      </rPr>
      <t>[</t>
    </r>
    <r>
      <rPr>
        <b/>
        <sz val="10"/>
        <color rgb="FFFFFFFF"/>
        <rFont val="Noto Sans CJK SC"/>
        <family val="2"/>
      </rPr>
      <t>참고</t>
    </r>
    <r>
      <rPr>
        <b/>
        <sz val="10"/>
        <color rgb="FFFFFFFF"/>
        <rFont val="Arial"/>
        <family val="2"/>
      </rPr>
      <t xml:space="preserve">] </t>
    </r>
    <r>
      <rPr>
        <b/>
        <sz val="10"/>
        <color rgb="FFFFFFFF"/>
        <rFont val="Noto Sans CJK SC"/>
        <family val="2"/>
      </rPr>
      <t xml:space="preserve">원본 </t>
    </r>
    <r>
      <rPr>
        <b/>
        <sz val="10"/>
        <color rgb="FFFFFFFF"/>
        <rFont val="Arial"/>
        <family val="2"/>
      </rPr>
      <t>TRAVEL_ID</t>
    </r>
  </si>
  <si>
    <t>P001</t>
  </si>
  <si>
    <t>여</t>
  </si>
  <si>
    <r>
      <rPr>
        <sz val="10"/>
        <rFont val="Arial"/>
        <family val="2"/>
      </rPr>
      <t>30</t>
    </r>
    <r>
      <rPr>
        <sz val="10"/>
        <rFont val="Noto Sans CJK SC"/>
        <family val="2"/>
      </rPr>
      <t>대</t>
    </r>
  </si>
  <si>
    <t>인천광역시</t>
  </si>
  <si>
    <t>데이터 없음</t>
  </si>
  <si>
    <r>
      <rPr>
        <sz val="10"/>
        <rFont val="Noto Sans CJK SC"/>
        <family val="2"/>
      </rPr>
      <t xml:space="preserve">월평균 </t>
    </r>
    <r>
      <rPr>
        <sz val="10"/>
        <rFont val="Arial"/>
        <family val="2"/>
      </rPr>
      <t>300</t>
    </r>
    <r>
      <rPr>
        <sz val="10"/>
        <rFont val="Noto Sans CJK SC"/>
        <family val="2"/>
      </rPr>
      <t xml:space="preserve">만원 </t>
    </r>
    <r>
      <rPr>
        <sz val="10"/>
        <rFont val="Arial"/>
        <family val="2"/>
      </rPr>
      <t>~ 400</t>
    </r>
    <r>
      <rPr>
        <sz val="10"/>
        <rFont val="Noto Sans CJK SC"/>
        <family val="2"/>
      </rPr>
      <t>만원 미만</t>
    </r>
  </si>
  <si>
    <r>
      <rPr>
        <sz val="10"/>
        <rFont val="Arial"/>
        <family val="2"/>
      </rPr>
      <t>2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한달 기준</t>
    </r>
    <r>
      <rPr>
        <sz val="10"/>
        <rFont val="Arial"/>
        <family val="2"/>
      </rPr>
      <t>)</t>
    </r>
  </si>
  <si>
    <t>미혼</t>
  </si>
  <si>
    <r>
      <rPr>
        <sz val="10"/>
        <rFont val="Arial"/>
        <family val="2"/>
      </rPr>
      <t>4</t>
    </r>
    <r>
      <rPr>
        <sz val="10"/>
        <rFont val="Noto Sans CJK SC"/>
        <family val="2"/>
      </rPr>
      <t>명</t>
    </r>
  </si>
  <si>
    <t>전문가 및 관련 종사자</t>
  </si>
  <si>
    <t>카드 일시불</t>
  </si>
  <si>
    <t>취식</t>
  </si>
  <si>
    <r>
      <rPr>
        <sz val="10"/>
        <rFont val="Noto Sans CJK SC"/>
        <family val="2"/>
      </rPr>
      <t>식당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카페</t>
    </r>
  </si>
  <si>
    <r>
      <rPr>
        <sz val="10"/>
        <rFont val="Noto Sans CJK SC"/>
        <family val="2"/>
      </rPr>
      <t>자가용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승용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승합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트럭 등등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</si>
  <si>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쇼핑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역사 유적지 방문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시티투어</t>
    </r>
  </si>
  <si>
    <t>경기도</t>
  </si>
  <si>
    <t>a_a006408</t>
  </si>
  <si>
    <t>P002</t>
  </si>
  <si>
    <r>
      <rPr>
        <sz val="10"/>
        <rFont val="Arial"/>
        <family val="2"/>
      </rPr>
      <t>20</t>
    </r>
    <r>
      <rPr>
        <sz val="10"/>
        <rFont val="Noto Sans CJK SC"/>
        <family val="2"/>
      </rPr>
      <t>대</t>
    </r>
  </si>
  <si>
    <t>서울특별시</t>
  </si>
  <si>
    <t>소득없음</t>
  </si>
  <si>
    <r>
      <rPr>
        <sz val="10"/>
        <rFont val="Arial"/>
        <family val="2"/>
      </rPr>
      <t>4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</rPr>
      <t>(1</t>
    </r>
    <r>
      <rPr>
        <sz val="10"/>
        <rFont val="Noto Sans CJK SC"/>
        <family val="2"/>
      </rPr>
      <t>년 기준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</si>
  <si>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2</t>
    </r>
    <r>
      <rPr>
        <sz val="10"/>
        <rFont val="Noto Sans CJK SC"/>
        <family val="2"/>
      </rPr>
      <t>명</t>
    </r>
  </si>
  <si>
    <t>학생</t>
  </si>
  <si>
    <t>도보</t>
  </si>
  <si>
    <r>
      <rPr>
        <sz val="10"/>
        <rFont val="Noto Sans CJK SC"/>
        <family val="2"/>
      </rPr>
      <t xml:space="preserve">쇼핑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드라마 촬영지 방문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역사 유적지 방문</t>
    </r>
  </si>
  <si>
    <t>a_a007079</t>
  </si>
  <si>
    <t>P003</t>
  </si>
  <si>
    <r>
      <rPr>
        <sz val="10"/>
        <rFont val="Arial"/>
        <family val="2"/>
      </rPr>
      <t>2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</rPr>
      <t>(1</t>
    </r>
    <r>
      <rPr>
        <sz val="10"/>
        <rFont val="Noto Sans CJK SC"/>
        <family val="2"/>
      </rPr>
      <t>년 기준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</si>
  <si>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3</t>
    </r>
    <r>
      <rPr>
        <sz val="10"/>
        <rFont val="Noto Sans CJK SC"/>
        <family val="2"/>
      </rPr>
      <t>명</t>
    </r>
  </si>
  <si>
    <t>사무 종사자</t>
  </si>
  <si>
    <t>자연관광지</t>
  </si>
  <si>
    <r>
      <rPr>
        <sz val="10"/>
        <rFont val="Noto Sans CJK SC"/>
        <family val="2"/>
      </rPr>
      <t xml:space="preserve">쇼핑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테마파크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놀이시설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식물원 방문 </t>
    </r>
    <r>
      <rPr>
        <sz val="10"/>
        <rFont val="Arial"/>
        <family val="2"/>
      </rPr>
      <t xml:space="preserve">/ Well-ness </t>
    </r>
    <r>
      <rPr>
        <sz val="10"/>
        <rFont val="Noto Sans CJK SC"/>
        <family val="2"/>
      </rPr>
      <t>여행</t>
    </r>
  </si>
  <si>
    <t>a_a001749</t>
  </si>
  <si>
    <t>P004</t>
  </si>
  <si>
    <r>
      <rPr>
        <sz val="10"/>
        <rFont val="Noto Sans CJK SC"/>
        <family val="2"/>
      </rPr>
      <t xml:space="preserve">월평균 </t>
    </r>
    <r>
      <rPr>
        <sz val="10"/>
        <rFont val="Arial"/>
        <family val="2"/>
      </rPr>
      <t>200</t>
    </r>
    <r>
      <rPr>
        <sz val="10"/>
        <rFont val="Noto Sans CJK SC"/>
        <family val="2"/>
      </rPr>
      <t xml:space="preserve">만원 </t>
    </r>
    <r>
      <rPr>
        <sz val="10"/>
        <rFont val="Arial"/>
        <family val="2"/>
      </rPr>
      <t>~ 300</t>
    </r>
    <r>
      <rPr>
        <sz val="10"/>
        <rFont val="Noto Sans CJK SC"/>
        <family val="2"/>
      </rPr>
      <t>만원 미만</t>
    </r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</si>
  <si>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한달 기준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</si>
  <si>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>명</t>
    </r>
  </si>
  <si>
    <r>
      <rPr>
        <sz val="10"/>
        <rFont val="Noto Sans CJK SC"/>
        <family val="2"/>
      </rPr>
      <t xml:space="preserve">쇼핑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구매</t>
    </r>
  </si>
  <si>
    <t>지하철</t>
  </si>
  <si>
    <r>
      <rPr>
        <sz val="10"/>
        <rFont val="Noto Sans CJK SC"/>
        <family val="2"/>
      </rPr>
      <t xml:space="preserve">쇼핑 </t>
    </r>
    <r>
      <rPr>
        <sz val="10"/>
        <rFont val="Arial"/>
        <family val="2"/>
      </rPr>
      <t xml:space="preserve">/ SNS </t>
    </r>
    <r>
      <rPr>
        <sz val="10"/>
        <rFont val="Noto Sans CJK SC"/>
        <family val="2"/>
      </rPr>
      <t xml:space="preserve">인생샷 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시티투어</t>
    </r>
  </si>
  <si>
    <t>a_a002831</t>
  </si>
  <si>
    <t>P005</t>
  </si>
  <si>
    <r>
      <rPr>
        <sz val="10"/>
        <rFont val="Noto Sans CJK SC"/>
        <family val="2"/>
      </rPr>
      <t>역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터미널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고속도로 휴게소</t>
    </r>
  </si>
  <si>
    <r>
      <rPr>
        <sz val="10"/>
        <rFont val="Arial"/>
        <family val="2"/>
      </rPr>
      <t xml:space="preserve">Well-ness </t>
    </r>
    <r>
      <rPr>
        <sz val="10"/>
        <rFont val="Noto Sans CJK SC"/>
        <family val="2"/>
      </rPr>
      <t xml:space="preserve">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지역 문화예술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공연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전시시설 관람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지역 축제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이벤트 참가</t>
    </r>
  </si>
  <si>
    <t>a_a001034</t>
  </si>
  <si>
    <t>P006</t>
  </si>
  <si>
    <t>남</t>
  </si>
  <si>
    <r>
      <rPr>
        <sz val="10"/>
        <rFont val="Arial"/>
        <family val="2"/>
      </rPr>
      <t>50</t>
    </r>
    <r>
      <rPr>
        <sz val="10"/>
        <rFont val="Noto Sans CJK SC"/>
        <family val="2"/>
      </rPr>
      <t>대</t>
    </r>
  </si>
  <si>
    <t>제주특별자치도</t>
  </si>
  <si>
    <r>
      <rPr>
        <sz val="10"/>
        <rFont val="Noto Sans CJK SC"/>
        <family val="2"/>
      </rPr>
      <t>가족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친지집</t>
    </r>
  </si>
  <si>
    <r>
      <rPr>
        <sz val="10"/>
        <rFont val="Noto Sans CJK SC"/>
        <family val="2"/>
      </rPr>
      <t xml:space="preserve">월평균 </t>
    </r>
    <r>
      <rPr>
        <sz val="10"/>
        <rFont val="Arial"/>
        <family val="2"/>
      </rPr>
      <t>100</t>
    </r>
    <r>
      <rPr>
        <sz val="10"/>
        <rFont val="Noto Sans CJK SC"/>
        <family val="2"/>
      </rPr>
      <t xml:space="preserve">만원 </t>
    </r>
    <r>
      <rPr>
        <sz val="10"/>
        <rFont val="Arial"/>
        <family val="2"/>
      </rPr>
      <t>~ 200</t>
    </r>
    <r>
      <rPr>
        <sz val="10"/>
        <rFont val="Noto Sans CJK SC"/>
        <family val="2"/>
      </rPr>
      <t>만원 미만</t>
    </r>
  </si>
  <si>
    <r>
      <rPr>
        <sz val="10"/>
        <rFont val="Arial"/>
        <family val="2"/>
      </rPr>
      <t>6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</rPr>
      <t>(1</t>
    </r>
    <r>
      <rPr>
        <sz val="10"/>
        <rFont val="Noto Sans CJK SC"/>
        <family val="2"/>
      </rPr>
      <t>년 기준</t>
    </r>
    <r>
      <rPr>
        <sz val="10"/>
        <rFont val="Arial"/>
        <family val="2"/>
      </rPr>
      <t>)</t>
    </r>
  </si>
  <si>
    <t>기혼</t>
  </si>
  <si>
    <t>서비스 종사자</t>
  </si>
  <si>
    <t>기타 활동</t>
  </si>
  <si>
    <t>쇼핑</t>
  </si>
  <si>
    <t>a_a015175</t>
  </si>
  <si>
    <t>P007</t>
  </si>
  <si>
    <t>기타</t>
  </si>
  <si>
    <r>
      <rPr>
        <sz val="10"/>
        <rFont val="Noto Sans CJK SC"/>
        <family val="2"/>
      </rPr>
      <t>교육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체험 프로그램 참가</t>
    </r>
  </si>
  <si>
    <t>a_a001600</t>
  </si>
  <si>
    <t>P008</t>
  </si>
  <si>
    <t>대구광역시</t>
  </si>
  <si>
    <t>호텔</t>
  </si>
  <si>
    <r>
      <rPr>
        <sz val="10"/>
        <rFont val="Arial"/>
        <family val="2"/>
      </rPr>
      <t>3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</rPr>
      <t>(1</t>
    </r>
    <r>
      <rPr>
        <sz val="10"/>
        <rFont val="Noto Sans CJK SC"/>
        <family val="2"/>
      </rPr>
      <t>년 기준</t>
    </r>
    <r>
      <rPr>
        <sz val="10"/>
        <rFont val="Arial"/>
        <family val="2"/>
      </rPr>
      <t>)</t>
    </r>
  </si>
  <si>
    <t>휴식</t>
  </si>
  <si>
    <r>
      <rPr>
        <sz val="10"/>
        <rFont val="Arial"/>
        <family val="2"/>
      </rPr>
      <t xml:space="preserve">SNS </t>
    </r>
    <r>
      <rPr>
        <sz val="10"/>
        <rFont val="Noto Sans CJK SC"/>
        <family val="2"/>
      </rPr>
      <t xml:space="preserve">인생샷 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호캉스 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반려동물 동반 여행</t>
    </r>
  </si>
  <si>
    <t>a_a001851</t>
  </si>
  <si>
    <t>P009</t>
  </si>
  <si>
    <t>충청남도</t>
  </si>
  <si>
    <t>펜션</t>
  </si>
  <si>
    <t>a_a000670</t>
  </si>
  <si>
    <t>P010</t>
  </si>
  <si>
    <r>
      <rPr>
        <sz val="10"/>
        <rFont val="Noto Sans CJK SC"/>
        <family val="2"/>
      </rPr>
      <t>모텔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여관</t>
    </r>
  </si>
  <si>
    <r>
      <rPr>
        <sz val="10"/>
        <rFont val="Noto Sans CJK SC"/>
        <family val="2"/>
      </rPr>
      <t>테마파크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놀이시설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식물원 방문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역사 유적지 방문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시티투어</t>
    </r>
  </si>
  <si>
    <t>a_a000817</t>
  </si>
  <si>
    <t>P011</t>
  </si>
  <si>
    <r>
      <rPr>
        <sz val="10"/>
        <rFont val="Noto Sans CJK SC"/>
        <family val="2"/>
      </rPr>
      <t xml:space="preserve">월평균 </t>
    </r>
    <r>
      <rPr>
        <sz val="10"/>
        <rFont val="Arial"/>
        <family val="2"/>
      </rPr>
      <t>400</t>
    </r>
    <r>
      <rPr>
        <sz val="10"/>
        <rFont val="Noto Sans CJK SC"/>
        <family val="2"/>
      </rPr>
      <t xml:space="preserve">만원 </t>
    </r>
    <r>
      <rPr>
        <sz val="10"/>
        <rFont val="Arial"/>
        <family val="2"/>
      </rPr>
      <t>~ 500</t>
    </r>
    <r>
      <rPr>
        <sz val="10"/>
        <rFont val="Noto Sans CJK SC"/>
        <family val="2"/>
      </rPr>
      <t>만원 미만</t>
    </r>
  </si>
  <si>
    <r>
      <rPr>
        <sz val="10"/>
        <rFont val="Arial"/>
        <family val="2"/>
      </rPr>
      <t>5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</rPr>
      <t>(1</t>
    </r>
    <r>
      <rPr>
        <sz val="10"/>
        <rFont val="Noto Sans CJK SC"/>
        <family val="2"/>
      </rPr>
      <t>년 기준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</si>
  <si>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호캉스 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인플루언서 따라하기 여행</t>
    </r>
  </si>
  <si>
    <t>a_a006247</t>
  </si>
  <si>
    <t>P012</t>
  </si>
  <si>
    <r>
      <rPr>
        <sz val="10"/>
        <rFont val="Arial"/>
        <family val="2"/>
      </rPr>
      <t>40</t>
    </r>
    <r>
      <rPr>
        <sz val="10"/>
        <rFont val="Noto Sans CJK SC"/>
        <family val="2"/>
      </rPr>
      <t>대</t>
    </r>
  </si>
  <si>
    <r>
      <rPr>
        <sz val="10"/>
        <rFont val="Noto Sans CJK SC"/>
        <family val="2"/>
      </rPr>
      <t xml:space="preserve">체험 활동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입장 및 관람</t>
    </r>
  </si>
  <si>
    <t>캠핑</t>
  </si>
  <si>
    <t>b_b000086</t>
  </si>
  <si>
    <t>P013</t>
  </si>
  <si>
    <r>
      <rPr>
        <sz val="10"/>
        <rFont val="Noto Sans CJK SC"/>
        <family val="2"/>
      </rPr>
      <t>콘도미니엄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리조트</t>
    </r>
  </si>
  <si>
    <r>
      <rPr>
        <sz val="10"/>
        <rFont val="Arial"/>
        <family val="2"/>
      </rPr>
      <t xml:space="preserve">SNS </t>
    </r>
    <r>
      <rPr>
        <sz val="10"/>
        <rFont val="Noto Sans CJK SC"/>
        <family val="2"/>
      </rPr>
      <t xml:space="preserve">인생샷 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호캉스 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신규 여행지 발굴</t>
    </r>
  </si>
  <si>
    <t>a_a000322</t>
  </si>
  <si>
    <t>P014</t>
  </si>
  <si>
    <r>
      <rPr>
        <sz val="10"/>
        <rFont val="Noto Sans CJK SC"/>
        <family val="2"/>
      </rPr>
      <t xml:space="preserve">단순 구경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산책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걷기</t>
    </r>
  </si>
  <si>
    <r>
      <rPr>
        <sz val="10"/>
        <rFont val="Noto Sans CJK SC"/>
        <family val="2"/>
      </rPr>
      <t>테마파크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놀이시설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식물원 방문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역사 유적지 방문</t>
    </r>
  </si>
  <si>
    <t>a_a013587</t>
  </si>
  <si>
    <t>P015</t>
  </si>
  <si>
    <t>경상남도</t>
  </si>
  <si>
    <t>게스트하우스</t>
  </si>
  <si>
    <t>판매 종사자</t>
  </si>
  <si>
    <r>
      <rPr>
        <sz val="10"/>
        <rFont val="Noto Sans CJK SC"/>
        <family val="2"/>
      </rPr>
      <t>시외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고속버스</t>
    </r>
  </si>
  <si>
    <r>
      <rPr>
        <sz val="10"/>
        <rFont val="Arial"/>
        <family val="2"/>
      </rPr>
      <t xml:space="preserve">Well-ness </t>
    </r>
    <r>
      <rPr>
        <sz val="10"/>
        <rFont val="Noto Sans CJK SC"/>
        <family val="2"/>
      </rPr>
      <t xml:space="preserve">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친환경 여행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플로깅 여행</t>
    </r>
    <r>
      <rPr>
        <sz val="10"/>
        <rFont val="Arial"/>
        <family val="2"/>
      </rPr>
      <t xml:space="preserve">) / </t>
    </r>
    <r>
      <rPr>
        <sz val="10"/>
        <rFont val="Noto Sans CJK SC"/>
        <family val="2"/>
      </rPr>
      <t>시티투어</t>
    </r>
  </si>
  <si>
    <t>a_a014727</t>
  </si>
  <si>
    <t>P016</t>
  </si>
  <si>
    <t>충청북도</t>
  </si>
  <si>
    <r>
      <rPr>
        <sz val="10"/>
        <rFont val="Noto Sans CJK SC"/>
        <family val="2"/>
      </rPr>
      <t xml:space="preserve">월평균 </t>
    </r>
    <r>
      <rPr>
        <sz val="10"/>
        <rFont val="Arial"/>
        <family val="2"/>
      </rPr>
      <t>100</t>
    </r>
    <r>
      <rPr>
        <sz val="10"/>
        <rFont val="Noto Sans CJK SC"/>
        <family val="2"/>
      </rPr>
      <t>만원 미만</t>
    </r>
  </si>
  <si>
    <r>
      <rPr>
        <sz val="10"/>
        <rFont val="Noto Sans CJK SC"/>
        <family val="2"/>
      </rPr>
      <t>교육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체험 프로그램 참가 </t>
    </r>
    <r>
      <rPr>
        <sz val="10"/>
        <rFont val="Arial"/>
        <family val="2"/>
      </rPr>
      <t xml:space="preserve">/ Well-ness </t>
    </r>
    <r>
      <rPr>
        <sz val="10"/>
        <rFont val="Noto Sans CJK SC"/>
        <family val="2"/>
      </rPr>
      <t xml:space="preserve">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지역 문화예술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공연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전시시설 관람</t>
    </r>
  </si>
  <si>
    <t>a_a001676</t>
  </si>
  <si>
    <t>P017</t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</si>
  <si>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</rPr>
      <t>(1</t>
    </r>
    <r>
      <rPr>
        <sz val="10"/>
        <rFont val="Noto Sans CJK SC"/>
        <family val="2"/>
      </rPr>
      <t>년 기준</t>
    </r>
    <r>
      <rPr>
        <sz val="10"/>
        <rFont val="Arial"/>
        <family val="2"/>
      </rPr>
      <t>)</t>
    </r>
  </si>
  <si>
    <t>관리자</t>
  </si>
  <si>
    <r>
      <rPr>
        <sz val="10"/>
        <rFont val="Noto Sans CJK SC"/>
        <family val="2"/>
      </rPr>
      <t>상업지구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거리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시장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쇼핑시설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</si>
  <si>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쇼핑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교육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체험 프로그램 참가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역사 유적지 방문</t>
    </r>
  </si>
  <si>
    <t>a_a006841</t>
  </si>
  <si>
    <t>P018</t>
  </si>
  <si>
    <r>
      <rPr>
        <sz val="10"/>
        <rFont val="Noto Sans CJK SC"/>
        <family val="2"/>
      </rPr>
      <t xml:space="preserve">월평균 </t>
    </r>
    <r>
      <rPr>
        <sz val="10"/>
        <rFont val="Arial"/>
        <family val="2"/>
      </rPr>
      <t>500</t>
    </r>
    <r>
      <rPr>
        <sz val="10"/>
        <rFont val="Noto Sans CJK SC"/>
        <family val="2"/>
      </rPr>
      <t xml:space="preserve">만원 </t>
    </r>
    <r>
      <rPr>
        <sz val="10"/>
        <rFont val="Arial"/>
        <family val="2"/>
      </rPr>
      <t>~ 600</t>
    </r>
    <r>
      <rPr>
        <sz val="10"/>
        <rFont val="Noto Sans CJK SC"/>
        <family val="2"/>
      </rPr>
      <t>만원 미만</t>
    </r>
  </si>
  <si>
    <t>호캉스 여행</t>
  </si>
  <si>
    <t>a_a001281</t>
  </si>
  <si>
    <t>P019</t>
  </si>
  <si>
    <r>
      <rPr>
        <sz val="10"/>
        <rFont val="Noto Sans CJK SC"/>
        <family val="2"/>
      </rPr>
      <t xml:space="preserve">쇼핑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테마파크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놀이시설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식물원 방문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인플루언서 따라하기 여행</t>
    </r>
  </si>
  <si>
    <t>a_a007918</t>
  </si>
  <si>
    <t>P020</t>
  </si>
  <si>
    <t>계좌이체</t>
  </si>
  <si>
    <r>
      <rPr>
        <sz val="10"/>
        <rFont val="Noto Sans CJK SC"/>
        <family val="2"/>
      </rPr>
      <t>문화 시설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공연장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영화관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전시관 등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</si>
  <si>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지역 문화예술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공연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전시시설 관람</t>
    </r>
  </si>
  <si>
    <t>a_a018055</t>
  </si>
  <si>
    <t>P021</t>
  </si>
  <si>
    <t>대전광역시</t>
  </si>
  <si>
    <t>a_a001448</t>
  </si>
  <si>
    <t>P022</t>
  </si>
  <si>
    <t>상점</t>
  </si>
  <si>
    <r>
      <rPr>
        <sz val="10"/>
        <rFont val="Noto Sans CJK SC"/>
        <family val="2"/>
      </rPr>
      <t>야외 스포츠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레포츠 활동</t>
    </r>
  </si>
  <si>
    <t>c_c005843</t>
  </si>
  <si>
    <t>P023</t>
  </si>
  <si>
    <r>
      <rPr>
        <sz val="10"/>
        <rFont val="Noto Sans CJK SC"/>
        <family val="2"/>
      </rPr>
      <t xml:space="preserve">월평균 </t>
    </r>
    <r>
      <rPr>
        <sz val="10"/>
        <rFont val="Arial"/>
        <family val="2"/>
      </rPr>
      <t>900</t>
    </r>
    <r>
      <rPr>
        <sz val="10"/>
        <rFont val="Noto Sans CJK SC"/>
        <family val="2"/>
      </rPr>
      <t xml:space="preserve">만원 </t>
    </r>
    <r>
      <rPr>
        <sz val="10"/>
        <rFont val="Arial"/>
        <family val="2"/>
      </rPr>
      <t>~ 1,000</t>
    </r>
    <r>
      <rPr>
        <sz val="10"/>
        <rFont val="Noto Sans CJK SC"/>
        <family val="2"/>
      </rPr>
      <t>만원 미만</t>
    </r>
  </si>
  <si>
    <t>a_a017828</t>
  </si>
  <si>
    <t>P024</t>
  </si>
  <si>
    <r>
      <rPr>
        <sz val="10"/>
        <rFont val="Noto Sans CJK SC"/>
        <family val="2"/>
      </rPr>
      <t xml:space="preserve">드라마 촬영지 방문 </t>
    </r>
    <r>
      <rPr>
        <sz val="10"/>
        <rFont val="Arial"/>
        <family val="2"/>
      </rPr>
      <t xml:space="preserve">/ SNS </t>
    </r>
    <r>
      <rPr>
        <sz val="10"/>
        <rFont val="Noto Sans CJK SC"/>
        <family val="2"/>
      </rPr>
      <t xml:space="preserve">인생샷 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인플루언서 따라하기 여행</t>
    </r>
  </si>
  <si>
    <t>a_a001502</t>
  </si>
  <si>
    <t>P025</t>
  </si>
  <si>
    <t>전업주부</t>
  </si>
  <si>
    <r>
      <rPr>
        <sz val="10"/>
        <rFont val="Noto Sans CJK SC"/>
        <family val="2"/>
      </rPr>
      <t xml:space="preserve">쇼핑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테마파크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놀이시설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식물원 방문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역사 유적지 방문</t>
    </r>
  </si>
  <si>
    <t>a_a005348</t>
  </si>
  <si>
    <t>P026</t>
  </si>
  <si>
    <r>
      <rPr>
        <sz val="10"/>
        <rFont val="Noto Sans CJK SC"/>
        <family val="2"/>
      </rPr>
      <t xml:space="preserve">신규 여행지 발굴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등반 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역사 유적지 방문</t>
    </r>
  </si>
  <si>
    <t>a_a003622</t>
  </si>
  <si>
    <t>P027</t>
  </si>
  <si>
    <r>
      <rPr>
        <sz val="10"/>
        <rFont val="Arial"/>
        <family val="2"/>
      </rPr>
      <t>60</t>
    </r>
    <r>
      <rPr>
        <sz val="10"/>
        <rFont val="Noto Sans CJK SC"/>
        <family val="2"/>
      </rPr>
      <t>대</t>
    </r>
  </si>
  <si>
    <t>자연휴양림내 시설</t>
  </si>
  <si>
    <r>
      <rPr>
        <sz val="10"/>
        <rFont val="Arial"/>
        <family val="2"/>
      </rPr>
      <t>3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한달 기준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</si>
  <si>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온천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스파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등반 여행</t>
    </r>
  </si>
  <si>
    <t>a_a001715</t>
  </si>
  <si>
    <t>P028</t>
  </si>
  <si>
    <r>
      <rPr>
        <sz val="10"/>
        <rFont val="Noto Sans CJK SC"/>
        <family val="2"/>
      </rPr>
      <t>역사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유적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종교 시설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문화재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박물관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촬영지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절 등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</si>
  <si>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야외 스포츠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레포츠 활동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지역 문화예술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공연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전시시설 관람</t>
    </r>
  </si>
  <si>
    <t>a_a007820</t>
  </si>
  <si>
    <t>P029</t>
  </si>
  <si>
    <t>농림어업 숙련 종사자</t>
  </si>
  <si>
    <t>체험 활동 관광지</t>
  </si>
  <si>
    <r>
      <rPr>
        <sz val="10"/>
        <rFont val="Noto Sans CJK SC"/>
        <family val="2"/>
      </rPr>
      <t>시내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마을버스</t>
    </r>
  </si>
  <si>
    <r>
      <rPr>
        <sz val="10"/>
        <rFont val="Noto Sans CJK SC"/>
        <family val="2"/>
      </rPr>
      <t>교육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체험 프로그램 참가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신규 여행지 발굴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인플루언서 따라하기 여행</t>
    </r>
  </si>
  <si>
    <t>a_a001333</t>
  </si>
  <si>
    <t>P030</t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</si>
  <si>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기타 기준</t>
    </r>
    <r>
      <rPr>
        <sz val="10"/>
        <rFont val="Arial"/>
        <family val="2"/>
      </rPr>
      <t>)</t>
    </r>
  </si>
  <si>
    <t>시티투어</t>
  </si>
  <si>
    <t>a_a017753</t>
  </si>
  <si>
    <t>P031</t>
  </si>
  <si>
    <r>
      <rPr>
        <sz val="10"/>
        <rFont val="Noto Sans CJK SC"/>
        <family val="2"/>
      </rPr>
      <t xml:space="preserve">쇼핑 </t>
    </r>
    <r>
      <rPr>
        <sz val="10"/>
        <rFont val="Arial"/>
        <family val="2"/>
      </rPr>
      <t xml:space="preserve">/ SNS </t>
    </r>
    <r>
      <rPr>
        <sz val="10"/>
        <rFont val="Noto Sans CJK SC"/>
        <family val="2"/>
      </rPr>
      <t xml:space="preserve">인생샷 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역사 유적지 방문</t>
    </r>
  </si>
  <si>
    <t>a_a005989</t>
  </si>
  <si>
    <t>P032</t>
  </si>
  <si>
    <r>
      <rPr>
        <sz val="10"/>
        <rFont val="Noto Sans CJK SC"/>
        <family val="2"/>
      </rPr>
      <t>테마시설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놀이공원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워터파크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</si>
  <si>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테마파크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놀이시설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식물원 방문 </t>
    </r>
    <r>
      <rPr>
        <sz val="10"/>
        <rFont val="Arial"/>
        <family val="2"/>
      </rPr>
      <t xml:space="preserve">/ SNS </t>
    </r>
    <r>
      <rPr>
        <sz val="10"/>
        <rFont val="Noto Sans CJK SC"/>
        <family val="2"/>
      </rPr>
      <t>인생샷 여행</t>
    </r>
  </si>
  <si>
    <t>a_a014783</t>
  </si>
  <si>
    <t>P033</t>
  </si>
  <si>
    <r>
      <rPr>
        <sz val="10"/>
        <rFont val="Noto Sans CJK SC"/>
        <family val="2"/>
      </rPr>
      <t xml:space="preserve">등반 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시티투어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야외 스포츠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레포츠 활동</t>
    </r>
  </si>
  <si>
    <t>a_a004752</t>
  </si>
  <si>
    <t>P034</t>
  </si>
  <si>
    <t>현금</t>
  </si>
  <si>
    <r>
      <rPr>
        <sz val="10"/>
        <rFont val="Arial"/>
        <family val="2"/>
      </rPr>
      <t xml:space="preserve">SNS </t>
    </r>
    <r>
      <rPr>
        <sz val="10"/>
        <rFont val="Noto Sans CJK SC"/>
        <family val="2"/>
      </rPr>
      <t>인생샷 여행</t>
    </r>
  </si>
  <si>
    <t>a_a006524</t>
  </si>
  <si>
    <t>P035</t>
  </si>
  <si>
    <r>
      <rPr>
        <sz val="10"/>
        <rFont val="Noto Sans CJK SC"/>
        <family val="2"/>
      </rPr>
      <t xml:space="preserve">쇼핑 </t>
    </r>
    <r>
      <rPr>
        <sz val="10"/>
        <rFont val="Arial"/>
        <family val="2"/>
      </rPr>
      <t xml:space="preserve">/ Well-ness </t>
    </r>
    <r>
      <rPr>
        <sz val="10"/>
        <rFont val="Noto Sans CJK SC"/>
        <family val="2"/>
      </rPr>
      <t xml:space="preserve">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인플루언서 따라하기 여행</t>
    </r>
  </si>
  <si>
    <t>a_a014793</t>
  </si>
  <si>
    <t>P036</t>
  </si>
  <si>
    <t>단순노무종사자</t>
  </si>
  <si>
    <r>
      <rPr>
        <sz val="10"/>
        <rFont val="Noto Sans CJK SC"/>
        <family val="2"/>
      </rPr>
      <t xml:space="preserve">쇼핑 </t>
    </r>
    <r>
      <rPr>
        <sz val="10"/>
        <rFont val="Arial"/>
        <family val="2"/>
      </rPr>
      <t xml:space="preserve">/ Well-ness </t>
    </r>
    <r>
      <rPr>
        <sz val="10"/>
        <rFont val="Noto Sans CJK SC"/>
        <family val="2"/>
      </rPr>
      <t xml:space="preserve">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친환경 여행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플로깅 여행</t>
    </r>
    <r>
      <rPr>
        <sz val="10"/>
        <rFont val="Arial"/>
        <family val="2"/>
      </rPr>
      <t>)</t>
    </r>
  </si>
  <si>
    <t>a_a001109</t>
  </si>
  <si>
    <t>P037</t>
  </si>
  <si>
    <t>강원도</t>
  </si>
  <si>
    <r>
      <rPr>
        <sz val="10"/>
        <rFont val="Noto Sans CJK SC"/>
        <family val="2"/>
      </rPr>
      <t xml:space="preserve">신규 여행지 발굴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친환경 여행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플로깅 여행</t>
    </r>
    <r>
      <rPr>
        <sz val="10"/>
        <rFont val="Arial"/>
        <family val="2"/>
      </rPr>
      <t xml:space="preserve">) / </t>
    </r>
    <r>
      <rPr>
        <sz val="10"/>
        <rFont val="Noto Sans CJK SC"/>
        <family val="2"/>
      </rPr>
      <t>등반 여행</t>
    </r>
  </si>
  <si>
    <t>a_a000135</t>
  </si>
  <si>
    <t>P038</t>
  </si>
  <si>
    <r>
      <rPr>
        <sz val="10"/>
        <rFont val="Noto Sans CJK SC"/>
        <family val="2"/>
      </rPr>
      <t xml:space="preserve">시티투어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역사 유적지 방문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등반 여행</t>
    </r>
  </si>
  <si>
    <t>a_a015349</t>
  </si>
  <si>
    <t>P039</t>
  </si>
  <si>
    <r>
      <rPr>
        <sz val="10"/>
        <rFont val="Noto Sans CJK SC"/>
        <family val="2"/>
      </rPr>
      <t>야영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캠핑</t>
    </r>
    <r>
      <rPr>
        <sz val="10"/>
        <rFont val="Arial"/>
        <family val="2"/>
      </rPr>
      <t>,</t>
    </r>
    <r>
      <rPr>
        <sz val="10"/>
        <rFont val="Noto Sans CJK SC"/>
        <family val="2"/>
      </rPr>
      <t>글램핑등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</si>
  <si>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테마파크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놀이시설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식물원 방문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캠핑</t>
    </r>
  </si>
  <si>
    <t>a_a000893</t>
  </si>
  <si>
    <t>P040</t>
  </si>
  <si>
    <r>
      <rPr>
        <sz val="10"/>
        <rFont val="Noto Sans CJK SC"/>
        <family val="2"/>
      </rPr>
      <t xml:space="preserve">쇼핑 </t>
    </r>
    <r>
      <rPr>
        <sz val="10"/>
        <rFont val="Arial"/>
        <family val="2"/>
      </rPr>
      <t xml:space="preserve">/ Well-ness </t>
    </r>
    <r>
      <rPr>
        <sz val="10"/>
        <rFont val="Noto Sans CJK SC"/>
        <family val="2"/>
      </rPr>
      <t xml:space="preserve">여행 </t>
    </r>
    <r>
      <rPr>
        <sz val="10"/>
        <rFont val="Arial"/>
        <family val="2"/>
      </rPr>
      <t xml:space="preserve">/ SNS </t>
    </r>
    <r>
      <rPr>
        <sz val="10"/>
        <rFont val="Noto Sans CJK SC"/>
        <family val="2"/>
      </rPr>
      <t>인생샷 여행</t>
    </r>
  </si>
  <si>
    <t>b_b006624</t>
  </si>
  <si>
    <t>P041</t>
  </si>
  <si>
    <t>a_a004024</t>
  </si>
  <si>
    <t>P042</t>
  </si>
  <si>
    <t>무박 여행</t>
  </si>
  <si>
    <r>
      <rPr>
        <sz val="10"/>
        <rFont val="Noto Sans CJK SC"/>
        <family val="2"/>
      </rPr>
      <t xml:space="preserve">월평균 </t>
    </r>
    <r>
      <rPr>
        <sz val="10"/>
        <rFont val="Arial"/>
        <family val="2"/>
      </rPr>
      <t>600</t>
    </r>
    <r>
      <rPr>
        <sz val="10"/>
        <rFont val="Noto Sans CJK SC"/>
        <family val="2"/>
      </rPr>
      <t xml:space="preserve">만원 </t>
    </r>
    <r>
      <rPr>
        <sz val="10"/>
        <rFont val="Arial"/>
        <family val="2"/>
      </rPr>
      <t>~ 700</t>
    </r>
    <r>
      <rPr>
        <sz val="10"/>
        <rFont val="Noto Sans CJK SC"/>
        <family val="2"/>
      </rPr>
      <t>만원 미만</t>
    </r>
  </si>
  <si>
    <t>a_a005189</t>
  </si>
  <si>
    <t>P043</t>
  </si>
  <si>
    <t>전라남도</t>
  </si>
  <si>
    <r>
      <rPr>
        <sz val="10"/>
        <rFont val="Noto Sans CJK SC"/>
        <family val="2"/>
      </rPr>
      <t>지역 축제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행사</t>
    </r>
  </si>
  <si>
    <r>
      <rPr>
        <sz val="10"/>
        <rFont val="Noto Sans CJK SC"/>
        <family val="2"/>
      </rPr>
      <t xml:space="preserve">쇼핑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테마파크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놀이시설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식물원 방문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시티투어</t>
    </r>
  </si>
  <si>
    <t>a_a004224</t>
  </si>
  <si>
    <t>P044</t>
  </si>
  <si>
    <t>a_a007112</t>
  </si>
  <si>
    <t>P045</t>
  </si>
  <si>
    <r>
      <rPr>
        <sz val="10"/>
        <rFont val="Noto Sans CJK SC"/>
        <family val="2"/>
      </rPr>
      <t xml:space="preserve">역사 유적지 방문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시티투어</t>
    </r>
  </si>
  <si>
    <t>a_a007966</t>
  </si>
  <si>
    <t>P046</t>
  </si>
  <si>
    <t>기능원 및 관련 기능 종사자</t>
  </si>
  <si>
    <t>자전거</t>
  </si>
  <si>
    <t>a_a011096</t>
  </si>
  <si>
    <t>P047</t>
  </si>
  <si>
    <t>a_a012183</t>
  </si>
  <si>
    <t>P048</t>
  </si>
  <si>
    <r>
      <rPr>
        <sz val="10"/>
        <rFont val="Noto Sans CJK SC"/>
        <family val="2"/>
      </rPr>
      <t>산책로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둘레길 등</t>
    </r>
  </si>
  <si>
    <r>
      <rPr>
        <sz val="10"/>
        <rFont val="Arial"/>
        <family val="2"/>
      </rPr>
      <t xml:space="preserve">SNS </t>
    </r>
    <r>
      <rPr>
        <sz val="10"/>
        <rFont val="Noto Sans CJK SC"/>
        <family val="2"/>
      </rPr>
      <t xml:space="preserve">인생샷 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야외 스포츠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레포츠 활동</t>
    </r>
  </si>
  <si>
    <t>a_a012288</t>
  </si>
  <si>
    <t>P049</t>
  </si>
  <si>
    <r>
      <rPr>
        <sz val="10"/>
        <rFont val="Noto Sans CJK SC"/>
        <family val="2"/>
      </rPr>
      <t xml:space="preserve">신규 여행지 발굴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쇼핑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교육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체험 프로그램 참가</t>
    </r>
  </si>
  <si>
    <t>a_a017742</t>
  </si>
  <si>
    <t>P050</t>
  </si>
  <si>
    <r>
      <rPr>
        <sz val="10"/>
        <rFont val="Arial"/>
        <family val="2"/>
      </rPr>
      <t>5</t>
    </r>
    <r>
      <rPr>
        <sz val="10"/>
        <rFont val="Noto Sans CJK SC"/>
        <family val="2"/>
      </rPr>
      <t>명</t>
    </r>
  </si>
  <si>
    <r>
      <rPr>
        <sz val="10"/>
        <rFont val="Noto Sans CJK SC"/>
        <family val="2"/>
      </rPr>
      <t xml:space="preserve">시티투어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시티투어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쇼핑</t>
    </r>
  </si>
  <si>
    <t>a_a005418</t>
  </si>
  <si>
    <t>P051</t>
  </si>
  <si>
    <r>
      <rPr>
        <sz val="10"/>
        <rFont val="Arial"/>
        <family val="2"/>
      </rPr>
      <t xml:space="preserve">SNS </t>
    </r>
    <r>
      <rPr>
        <sz val="10"/>
        <rFont val="Noto Sans CJK SC"/>
        <family val="2"/>
      </rPr>
      <t xml:space="preserve">인생샷 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역사 유적지 방문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야외 스포츠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레포츠 활동</t>
    </r>
  </si>
  <si>
    <t>a_a005562</t>
  </si>
  <si>
    <t>P052</t>
  </si>
  <si>
    <r>
      <rPr>
        <sz val="10"/>
        <rFont val="Noto Sans CJK SC"/>
        <family val="2"/>
      </rPr>
      <t xml:space="preserve">쇼핑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테마파크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놀이시설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식물원 방문 </t>
    </r>
    <r>
      <rPr>
        <sz val="10"/>
        <rFont val="Arial"/>
        <family val="2"/>
      </rPr>
      <t xml:space="preserve">/ SNS </t>
    </r>
    <r>
      <rPr>
        <sz val="10"/>
        <rFont val="Noto Sans CJK SC"/>
        <family val="2"/>
      </rPr>
      <t>인생샷 여행</t>
    </r>
  </si>
  <si>
    <t>a_a007597</t>
  </si>
  <si>
    <t>P053</t>
  </si>
  <si>
    <r>
      <rPr>
        <sz val="10"/>
        <rFont val="Arial"/>
        <family val="2"/>
      </rPr>
      <t xml:space="preserve">SNS </t>
    </r>
    <r>
      <rPr>
        <sz val="10"/>
        <rFont val="Noto Sans CJK SC"/>
        <family val="2"/>
      </rPr>
      <t xml:space="preserve">인생샷 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인플루언서 따라하기 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시티투어</t>
    </r>
  </si>
  <si>
    <t>a_a006965</t>
  </si>
  <si>
    <t>P054</t>
  </si>
  <si>
    <t>인플루언서 따라하기 여행</t>
  </si>
  <si>
    <t>a_a000910</t>
  </si>
  <si>
    <t>P055</t>
  </si>
  <si>
    <r>
      <rPr>
        <sz val="10"/>
        <rFont val="Noto Sans CJK SC"/>
        <family val="2"/>
      </rPr>
      <t xml:space="preserve">쇼핑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시티투어 </t>
    </r>
    <r>
      <rPr>
        <sz val="10"/>
        <rFont val="Arial"/>
        <family val="2"/>
      </rPr>
      <t xml:space="preserve">/ SNS </t>
    </r>
    <r>
      <rPr>
        <sz val="10"/>
        <rFont val="Noto Sans CJK SC"/>
        <family val="2"/>
      </rPr>
      <t>인생샷 여행</t>
    </r>
  </si>
  <si>
    <t>a_a008269</t>
  </si>
  <si>
    <t>P056</t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</si>
  <si>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</rPr>
      <t>(1</t>
    </r>
    <r>
      <rPr>
        <sz val="10"/>
        <rFont val="Noto Sans CJK SC"/>
        <family val="2"/>
      </rPr>
      <t>주일 기준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</si>
  <si>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온천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스파</t>
    </r>
  </si>
  <si>
    <t>a_a002335</t>
  </si>
  <si>
    <t>P057</t>
  </si>
  <si>
    <t>a_a006993</t>
  </si>
  <si>
    <t>P058</t>
  </si>
  <si>
    <r>
      <rPr>
        <sz val="10"/>
        <rFont val="Noto Sans CJK SC"/>
        <family val="2"/>
      </rPr>
      <t>테마파크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놀이시설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식물원 방문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신규 여행지 발굴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역사 유적지 방문</t>
    </r>
  </si>
  <si>
    <t>a_a001026</t>
  </si>
  <si>
    <t>P059</t>
  </si>
  <si>
    <r>
      <rPr>
        <sz val="10"/>
        <rFont val="Noto Sans CJK SC"/>
        <family val="2"/>
      </rPr>
      <t xml:space="preserve">쇼핑 </t>
    </r>
    <r>
      <rPr>
        <sz val="10"/>
        <rFont val="Arial"/>
        <family val="2"/>
      </rPr>
      <t xml:space="preserve">/ SNS </t>
    </r>
    <r>
      <rPr>
        <sz val="10"/>
        <rFont val="Noto Sans CJK SC"/>
        <family val="2"/>
      </rPr>
      <t xml:space="preserve">인생샷 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지역 축제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이벤트 참가</t>
    </r>
  </si>
  <si>
    <t>a_a014308</t>
  </si>
  <si>
    <t>P060</t>
  </si>
  <si>
    <t>a_a011113</t>
  </si>
  <si>
    <t>P061</t>
  </si>
  <si>
    <r>
      <rPr>
        <sz val="10"/>
        <rFont val="Arial"/>
        <family val="2"/>
      </rPr>
      <t xml:space="preserve">SNS </t>
    </r>
    <r>
      <rPr>
        <sz val="10"/>
        <rFont val="Noto Sans CJK SC"/>
        <family val="2"/>
      </rPr>
      <t xml:space="preserve">인생샷 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인플루언서 따라하기 여행</t>
    </r>
  </si>
  <si>
    <t>a_a007364</t>
  </si>
  <si>
    <t>P062</t>
  </si>
  <si>
    <r>
      <rPr>
        <sz val="10"/>
        <rFont val="Arial"/>
        <family val="2"/>
      </rPr>
      <t xml:space="preserve">SNS </t>
    </r>
    <r>
      <rPr>
        <sz val="10"/>
        <rFont val="Noto Sans CJK SC"/>
        <family val="2"/>
      </rPr>
      <t xml:space="preserve">인생샷 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인플루언서 따라하기 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지역 문화예술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공연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전시시설 관람</t>
    </r>
  </si>
  <si>
    <t>a_a013785</t>
  </si>
  <si>
    <t>P063</t>
  </si>
  <si>
    <r>
      <rPr>
        <sz val="10"/>
        <rFont val="Arial"/>
        <family val="2"/>
      </rPr>
      <t>4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한달 기준</t>
    </r>
    <r>
      <rPr>
        <sz val="10"/>
        <rFont val="Arial"/>
        <family val="2"/>
      </rPr>
      <t>)</t>
    </r>
  </si>
  <si>
    <t>a_a010132</t>
  </si>
  <si>
    <t>P064</t>
  </si>
  <si>
    <r>
      <rPr>
        <sz val="10"/>
        <rFont val="Noto Sans CJK SC"/>
        <family val="2"/>
      </rPr>
      <t xml:space="preserve">쇼핑 </t>
    </r>
    <r>
      <rPr>
        <sz val="10"/>
        <rFont val="Arial"/>
        <family val="2"/>
      </rPr>
      <t xml:space="preserve">/ SNS </t>
    </r>
    <r>
      <rPr>
        <sz val="10"/>
        <rFont val="Noto Sans CJK SC"/>
        <family val="2"/>
      </rPr>
      <t xml:space="preserve">인생샷 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야외 스포츠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레포츠 활동</t>
    </r>
  </si>
  <si>
    <t>a_a004431</t>
  </si>
  <si>
    <t>P065</t>
  </si>
  <si>
    <r>
      <rPr>
        <sz val="10"/>
        <rFont val="Noto Sans CJK SC"/>
        <family val="2"/>
      </rPr>
      <t>테마파크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놀이시설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식물원 방문 </t>
    </r>
    <r>
      <rPr>
        <sz val="10"/>
        <rFont val="Arial"/>
        <family val="2"/>
      </rPr>
      <t xml:space="preserve">/ Well-ness </t>
    </r>
    <r>
      <rPr>
        <sz val="10"/>
        <rFont val="Noto Sans CJK SC"/>
        <family val="2"/>
      </rPr>
      <t xml:space="preserve">여행 </t>
    </r>
    <r>
      <rPr>
        <sz val="10"/>
        <rFont val="Arial"/>
        <family val="2"/>
      </rPr>
      <t xml:space="preserve">/ SNS </t>
    </r>
    <r>
      <rPr>
        <sz val="10"/>
        <rFont val="Noto Sans CJK SC"/>
        <family val="2"/>
      </rPr>
      <t>인생샷 여행</t>
    </r>
  </si>
  <si>
    <t>a_a012155</t>
  </si>
  <si>
    <t>P066</t>
  </si>
  <si>
    <r>
      <rPr>
        <sz val="10"/>
        <rFont val="Noto Sans CJK SC"/>
        <family val="2"/>
      </rPr>
      <t>지역 문화예술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공연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전시시설 관람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캠핑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지역 축제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이벤트 참가</t>
    </r>
  </si>
  <si>
    <t>a_a001839</t>
  </si>
  <si>
    <t>P067</t>
  </si>
  <si>
    <r>
      <rPr>
        <sz val="10"/>
        <rFont val="Arial"/>
        <family val="2"/>
      </rPr>
      <t>10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</rPr>
      <t>(1</t>
    </r>
    <r>
      <rPr>
        <sz val="10"/>
        <rFont val="Noto Sans CJK SC"/>
        <family val="2"/>
      </rPr>
      <t>년 기준</t>
    </r>
    <r>
      <rPr>
        <sz val="10"/>
        <rFont val="Arial"/>
        <family val="2"/>
      </rPr>
      <t>)</t>
    </r>
  </si>
  <si>
    <t>역사 유적지 방문</t>
  </si>
  <si>
    <t>c_c005343</t>
  </si>
  <si>
    <t>P068</t>
  </si>
  <si>
    <t>울산광역시</t>
  </si>
  <si>
    <t>a_a002543</t>
  </si>
  <si>
    <t>P069</t>
  </si>
  <si>
    <r>
      <rPr>
        <sz val="10"/>
        <rFont val="Noto Sans CJK SC"/>
        <family val="2"/>
      </rPr>
      <t xml:space="preserve">드라마 촬영지 방문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테마파크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놀이시설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식물원 방문 </t>
    </r>
    <r>
      <rPr>
        <sz val="10"/>
        <rFont val="Arial"/>
        <family val="2"/>
      </rPr>
      <t xml:space="preserve">/ SNS </t>
    </r>
    <r>
      <rPr>
        <sz val="10"/>
        <rFont val="Noto Sans CJK SC"/>
        <family val="2"/>
      </rPr>
      <t>인생샷 여행</t>
    </r>
  </si>
  <si>
    <t>a_a004646</t>
  </si>
  <si>
    <t>P070</t>
  </si>
  <si>
    <r>
      <rPr>
        <sz val="10"/>
        <rFont val="Arial"/>
        <family val="2"/>
      </rPr>
      <t xml:space="preserve">Well-ness </t>
    </r>
    <r>
      <rPr>
        <sz val="10"/>
        <rFont val="Noto Sans CJK SC"/>
        <family val="2"/>
      </rPr>
      <t xml:space="preserve">여행 </t>
    </r>
    <r>
      <rPr>
        <sz val="10"/>
        <rFont val="Arial"/>
        <family val="2"/>
      </rPr>
      <t xml:space="preserve">/ SNS </t>
    </r>
    <r>
      <rPr>
        <sz val="10"/>
        <rFont val="Noto Sans CJK SC"/>
        <family val="2"/>
      </rPr>
      <t xml:space="preserve">인생샷 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역사 유적지 방문</t>
    </r>
  </si>
  <si>
    <t>a_a017687</t>
  </si>
  <si>
    <t>P071</t>
  </si>
  <si>
    <r>
      <rPr>
        <sz val="10"/>
        <rFont val="Arial"/>
        <family val="2"/>
      </rPr>
      <t xml:space="preserve">SNS </t>
    </r>
    <r>
      <rPr>
        <sz val="10"/>
        <rFont val="Noto Sans CJK SC"/>
        <family val="2"/>
      </rPr>
      <t xml:space="preserve">인생샷 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반려동물 동반 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캠핑</t>
    </r>
  </si>
  <si>
    <t>a_a001694</t>
  </si>
  <si>
    <t>P072</t>
  </si>
  <si>
    <r>
      <rPr>
        <sz val="10"/>
        <rFont val="Noto Sans CJK SC"/>
        <family val="2"/>
      </rPr>
      <t xml:space="preserve">쇼핑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호캉스 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시티투어</t>
    </r>
  </si>
  <si>
    <t>a_a000796</t>
  </si>
  <si>
    <t>P073</t>
  </si>
  <si>
    <r>
      <rPr>
        <sz val="10"/>
        <rFont val="Noto Sans CJK SC"/>
        <family val="2"/>
      </rPr>
      <t xml:space="preserve">쇼핑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친환경 여행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플로깅 여행</t>
    </r>
    <r>
      <rPr>
        <sz val="10"/>
        <rFont val="Arial"/>
        <family val="2"/>
      </rPr>
      <t xml:space="preserve">) / </t>
    </r>
    <r>
      <rPr>
        <sz val="10"/>
        <rFont val="Noto Sans CJK SC"/>
        <family val="2"/>
      </rPr>
      <t>역사 유적지 방문</t>
    </r>
  </si>
  <si>
    <t>a_a003636</t>
  </si>
  <si>
    <t>P074</t>
  </si>
  <si>
    <t>a_a010286</t>
  </si>
  <si>
    <t>P075</t>
  </si>
  <si>
    <r>
      <rPr>
        <sz val="10"/>
        <rFont val="Noto Sans CJK SC"/>
        <family val="2"/>
      </rPr>
      <t xml:space="preserve">쇼핑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테마파크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놀이시설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식물원 방문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지역 문화예술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공연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전시시설 관람</t>
    </r>
  </si>
  <si>
    <t>a_a015745</t>
  </si>
  <si>
    <t>P076</t>
  </si>
  <si>
    <r>
      <rPr>
        <sz val="10"/>
        <rFont val="Noto Sans CJK SC"/>
        <family val="2"/>
      </rPr>
      <t xml:space="preserve">시티투어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지역 문화예술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공연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전시시설 관람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지역 축제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이벤트 참가</t>
    </r>
  </si>
  <si>
    <t>a_a006743</t>
  </si>
  <si>
    <t>P077</t>
  </si>
  <si>
    <r>
      <rPr>
        <sz val="10"/>
        <rFont val="Noto Sans CJK SC"/>
        <family val="2"/>
      </rPr>
      <t xml:space="preserve">쇼핑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지역 문화예술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공연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전시시설 관람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지역 축제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이벤트 참가</t>
    </r>
  </si>
  <si>
    <t>a_a006554</t>
  </si>
  <si>
    <t>P078</t>
  </si>
  <si>
    <r>
      <rPr>
        <sz val="10"/>
        <rFont val="Noto Sans CJK SC"/>
        <family val="2"/>
      </rPr>
      <t xml:space="preserve">월평균 </t>
    </r>
    <r>
      <rPr>
        <sz val="10"/>
        <rFont val="Arial"/>
        <family val="2"/>
      </rPr>
      <t>700</t>
    </r>
    <r>
      <rPr>
        <sz val="10"/>
        <rFont val="Noto Sans CJK SC"/>
        <family val="2"/>
      </rPr>
      <t xml:space="preserve">만원 </t>
    </r>
    <r>
      <rPr>
        <sz val="10"/>
        <rFont val="Arial"/>
        <family val="2"/>
      </rPr>
      <t>~ 800</t>
    </r>
    <r>
      <rPr>
        <sz val="10"/>
        <rFont val="Noto Sans CJK SC"/>
        <family val="2"/>
      </rPr>
      <t>만원 미만</t>
    </r>
  </si>
  <si>
    <r>
      <rPr>
        <sz val="10"/>
        <rFont val="Noto Sans CJK SC"/>
        <family val="2"/>
      </rPr>
      <t xml:space="preserve">쇼핑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신규 여행지 발굴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친환경 여행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플로깅 여행</t>
    </r>
    <r>
      <rPr>
        <sz val="10"/>
        <rFont val="Arial"/>
        <family val="2"/>
      </rPr>
      <t>)</t>
    </r>
  </si>
  <si>
    <t>a_a001187</t>
  </si>
  <si>
    <t>P079</t>
  </si>
  <si>
    <r>
      <rPr>
        <sz val="10"/>
        <rFont val="Noto Sans CJK SC"/>
        <family val="2"/>
      </rPr>
      <t xml:space="preserve">드라마 촬영지 방문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테마파크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놀이시설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식물원 방문 </t>
    </r>
    <r>
      <rPr>
        <sz val="10"/>
        <rFont val="Arial"/>
        <family val="2"/>
      </rPr>
      <t xml:space="preserve">/ Well-ness </t>
    </r>
    <r>
      <rPr>
        <sz val="10"/>
        <rFont val="Noto Sans CJK SC"/>
        <family val="2"/>
      </rPr>
      <t>여행</t>
    </r>
  </si>
  <si>
    <t>a_a011647</t>
  </si>
  <si>
    <t>P080</t>
  </si>
  <si>
    <r>
      <rPr>
        <sz val="10"/>
        <rFont val="Noto Sans CJK SC"/>
        <family val="2"/>
      </rPr>
      <t>테마파크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놀이시설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식물원 방문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역사 유적지 방문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지역 문화예술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공연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전시시설 관람</t>
    </r>
  </si>
  <si>
    <t>a_a004205</t>
  </si>
  <si>
    <t>P081</t>
  </si>
  <si>
    <r>
      <rPr>
        <sz val="10"/>
        <rFont val="Noto Sans CJK SC"/>
        <family val="2"/>
      </rPr>
      <t xml:space="preserve">쇼핑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인플루언서 따라하기 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역사 유적지 방문</t>
    </r>
  </si>
  <si>
    <t>a_a002127</t>
  </si>
  <si>
    <t>P082</t>
  </si>
  <si>
    <t>a_a007358</t>
  </si>
  <si>
    <t>P083</t>
  </si>
  <si>
    <t>등반 여행</t>
  </si>
  <si>
    <t>a_a006022</t>
  </si>
  <si>
    <t>P084</t>
  </si>
  <si>
    <r>
      <rPr>
        <sz val="10"/>
        <rFont val="Noto Sans CJK SC"/>
        <family val="2"/>
      </rPr>
      <t>테마파크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놀이시설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식물원 방문 </t>
    </r>
    <r>
      <rPr>
        <sz val="10"/>
        <rFont val="Arial"/>
        <family val="2"/>
      </rPr>
      <t xml:space="preserve">/ SNS </t>
    </r>
    <r>
      <rPr>
        <sz val="10"/>
        <rFont val="Noto Sans CJK SC"/>
        <family val="2"/>
      </rPr>
      <t xml:space="preserve">인생샷 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역사 유적지 방문</t>
    </r>
  </si>
  <si>
    <t>a_a001337</t>
  </si>
  <si>
    <t>P085</t>
  </si>
  <si>
    <r>
      <rPr>
        <sz val="10"/>
        <rFont val="Noto Sans CJK SC"/>
        <family val="2"/>
      </rPr>
      <t>지역 축제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이벤트 참가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시티투어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지역 문화예술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공연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전시시설 관람</t>
    </r>
  </si>
  <si>
    <t>a_a011622</t>
  </si>
  <si>
    <t>P086</t>
  </si>
  <si>
    <r>
      <rPr>
        <sz val="10"/>
        <rFont val="Arial"/>
        <family val="2"/>
      </rPr>
      <t xml:space="preserve">Well-ness </t>
    </r>
    <r>
      <rPr>
        <sz val="10"/>
        <rFont val="Noto Sans CJK SC"/>
        <family val="2"/>
      </rPr>
      <t xml:space="preserve">여행 </t>
    </r>
    <r>
      <rPr>
        <sz val="10"/>
        <rFont val="Arial"/>
        <family val="2"/>
      </rPr>
      <t xml:space="preserve">/ SNS </t>
    </r>
    <r>
      <rPr>
        <sz val="10"/>
        <rFont val="Noto Sans CJK SC"/>
        <family val="2"/>
      </rPr>
      <t xml:space="preserve">인생샷 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시티투어</t>
    </r>
  </si>
  <si>
    <t>a_a007634</t>
  </si>
  <si>
    <t>P087</t>
  </si>
  <si>
    <r>
      <rPr>
        <sz val="10"/>
        <rFont val="Noto Sans CJK SC"/>
        <family val="2"/>
      </rPr>
      <t xml:space="preserve">쇼핑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테마파크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놀이시설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식물원 방문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야외 스포츠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레포츠 활동</t>
    </r>
  </si>
  <si>
    <t>a_a018039</t>
  </si>
  <si>
    <t>P088</t>
  </si>
  <si>
    <t>a_a000182</t>
  </si>
  <si>
    <t>P089</t>
  </si>
  <si>
    <r>
      <rPr>
        <sz val="10"/>
        <rFont val="Arial"/>
        <family val="2"/>
      </rPr>
      <t xml:space="preserve">SNS </t>
    </r>
    <r>
      <rPr>
        <sz val="10"/>
        <rFont val="Noto Sans CJK SC"/>
        <family val="2"/>
      </rPr>
      <t xml:space="preserve">인생샷 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신규 여행지 발굴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인플루언서 따라하기 여행</t>
    </r>
  </si>
  <si>
    <t>a_a002025</t>
  </si>
  <si>
    <t>P090</t>
  </si>
  <si>
    <r>
      <rPr>
        <sz val="10"/>
        <rFont val="Noto Sans CJK SC"/>
        <family val="2"/>
      </rPr>
      <t xml:space="preserve">쇼핑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지역 문화예술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공연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전시시설 관람</t>
    </r>
  </si>
  <si>
    <t>a_a003643</t>
  </si>
  <si>
    <t>P091</t>
  </si>
  <si>
    <t>경상북도</t>
  </si>
  <si>
    <r>
      <rPr>
        <sz val="10"/>
        <rFont val="Noto Sans CJK SC"/>
        <family val="2"/>
      </rPr>
      <t xml:space="preserve">쇼핑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테마파크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놀이시설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식물원 방문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호캉스 여행</t>
    </r>
  </si>
  <si>
    <t>a_a001271</t>
  </si>
  <si>
    <t>P092</t>
  </si>
  <si>
    <r>
      <rPr>
        <sz val="10"/>
        <rFont val="Noto Sans CJK SC"/>
        <family val="2"/>
      </rPr>
      <t xml:space="preserve">드라마 촬영지 방문 </t>
    </r>
    <r>
      <rPr>
        <sz val="10"/>
        <rFont val="Arial"/>
        <family val="2"/>
      </rPr>
      <t xml:space="preserve">/ SNS </t>
    </r>
    <r>
      <rPr>
        <sz val="10"/>
        <rFont val="Noto Sans CJK SC"/>
        <family val="2"/>
      </rPr>
      <t xml:space="preserve">인생샷 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신규 여행지 발굴</t>
    </r>
  </si>
  <si>
    <t>a_a004256</t>
  </si>
  <si>
    <t>P093</t>
  </si>
  <si>
    <r>
      <rPr>
        <sz val="10"/>
        <rFont val="Noto Sans CJK SC"/>
        <family val="2"/>
      </rPr>
      <t>테마파크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놀이시설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식물원 방문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역사 유적지 방문 </t>
    </r>
    <r>
      <rPr>
        <sz val="10"/>
        <rFont val="Arial"/>
        <family val="2"/>
      </rPr>
      <t xml:space="preserve">/ Well-ness </t>
    </r>
    <r>
      <rPr>
        <sz val="10"/>
        <rFont val="Noto Sans CJK SC"/>
        <family val="2"/>
      </rPr>
      <t>여행</t>
    </r>
  </si>
  <si>
    <t>a_a013762</t>
  </si>
  <si>
    <t>P094</t>
  </si>
  <si>
    <r>
      <rPr>
        <sz val="10"/>
        <rFont val="Noto Sans CJK SC"/>
        <family val="2"/>
      </rPr>
      <t xml:space="preserve">시티투어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지역 문화예술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공연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전시시설 관람</t>
    </r>
  </si>
  <si>
    <t>a_a014096</t>
  </si>
  <si>
    <t>P095</t>
  </si>
  <si>
    <t>a_a011091</t>
  </si>
  <si>
    <t>P096</t>
  </si>
  <si>
    <r>
      <rPr>
        <sz val="10"/>
        <rFont val="Noto Sans CJK SC"/>
        <family val="2"/>
      </rPr>
      <t xml:space="preserve">역사 유적지 방문 </t>
    </r>
    <r>
      <rPr>
        <sz val="10"/>
        <rFont val="Arial"/>
        <family val="2"/>
      </rPr>
      <t xml:space="preserve">/ SNS </t>
    </r>
    <r>
      <rPr>
        <sz val="10"/>
        <rFont val="Noto Sans CJK SC"/>
        <family val="2"/>
      </rPr>
      <t xml:space="preserve">인생샷 여행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시티투어</t>
    </r>
  </si>
  <si>
    <t>a_a007778</t>
  </si>
  <si>
    <t>P097</t>
  </si>
  <si>
    <r>
      <rPr>
        <sz val="10"/>
        <rFont val="Noto Sans CJK SC"/>
        <family val="2"/>
      </rPr>
      <t xml:space="preserve">역사 유적지 방문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지역 문화예술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공연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전시시설 관람</t>
    </r>
  </si>
  <si>
    <t>a_a007253</t>
  </si>
  <si>
    <t>P098</t>
  </si>
  <si>
    <r>
      <rPr>
        <sz val="10"/>
        <rFont val="Noto Sans CJK SC"/>
        <family val="2"/>
      </rPr>
      <t xml:space="preserve">시티투어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유흥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오락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나이트라이프</t>
    </r>
    <r>
      <rPr>
        <sz val="10"/>
        <rFont val="Arial"/>
        <family val="2"/>
      </rPr>
      <t xml:space="preserve">) / </t>
    </r>
    <r>
      <rPr>
        <sz val="10"/>
        <rFont val="Noto Sans CJK SC"/>
        <family val="2"/>
      </rPr>
      <t>인플루언서 따라하기 여행</t>
    </r>
  </si>
  <si>
    <t>a_a009740</t>
  </si>
  <si>
    <t>P099</t>
  </si>
  <si>
    <t>a_a017877</t>
  </si>
  <si>
    <t>P100</t>
  </si>
  <si>
    <r>
      <rPr>
        <sz val="10"/>
        <rFont val="Arial"/>
        <family val="2"/>
      </rPr>
      <t>2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</rPr>
      <t>(1</t>
    </r>
    <r>
      <rPr>
        <sz val="10"/>
        <rFont val="Noto Sans CJK SC"/>
        <family val="2"/>
      </rPr>
      <t>주일 기준</t>
    </r>
    <r>
      <rPr>
        <sz val="10"/>
        <rFont val="Arial"/>
        <family val="2"/>
      </rPr>
      <t>)</t>
    </r>
  </si>
  <si>
    <t>a_a001244</t>
  </si>
  <si>
    <r>
      <rPr>
        <b/>
        <sz val="12"/>
        <color rgb="FF1F3864"/>
        <rFont val="Noto Sans CJK SC"/>
        <family val="2"/>
      </rPr>
      <t xml:space="preserve">페르소나 </t>
    </r>
    <r>
      <rPr>
        <b/>
        <sz val="12"/>
        <color rgb="FF1F3864"/>
        <rFont val="Arial"/>
        <family val="2"/>
      </rPr>
      <t>100</t>
    </r>
    <r>
      <rPr>
        <b/>
        <sz val="12"/>
        <color rgb="FF1F3864"/>
        <rFont val="Noto Sans CJK SC"/>
        <family val="2"/>
      </rPr>
      <t>명 분포 요약</t>
    </r>
  </si>
  <si>
    <r>
      <rPr>
        <i/>
        <sz val="10"/>
        <color rgb="FF808080"/>
        <rFont val="Noto Sans CJK SC"/>
        <family val="2"/>
      </rPr>
      <t>모든 수치는 페르소나</t>
    </r>
    <r>
      <rPr>
        <i/>
        <sz val="10"/>
        <color rgb="FF808080"/>
        <rFont val="Arial"/>
        <family val="2"/>
      </rPr>
      <t xml:space="preserve">_100 </t>
    </r>
    <r>
      <rPr>
        <i/>
        <sz val="10"/>
        <color rgb="FF808080"/>
        <rFont val="Noto Sans CJK SC"/>
        <family val="2"/>
      </rPr>
      <t xml:space="preserve">시트를 참조하는 </t>
    </r>
    <r>
      <rPr>
        <i/>
        <sz val="10"/>
        <color rgb="FF808080"/>
        <rFont val="Arial"/>
        <family val="2"/>
      </rPr>
      <t xml:space="preserve">COUNTIF/AVERAGE </t>
    </r>
    <r>
      <rPr>
        <i/>
        <sz val="10"/>
        <color rgb="FF808080"/>
        <rFont val="Noto Sans CJK SC"/>
        <family val="2"/>
      </rPr>
      <t>수식입니다</t>
    </r>
    <r>
      <rPr>
        <i/>
        <sz val="10"/>
        <color rgb="FF808080"/>
        <rFont val="Arial"/>
        <family val="2"/>
      </rPr>
      <t xml:space="preserve">. </t>
    </r>
    <r>
      <rPr>
        <i/>
        <sz val="10"/>
        <color rgb="FF808080"/>
        <rFont val="Noto Sans CJK SC"/>
        <family val="2"/>
      </rPr>
      <t>표를 편집하면 자동 갱신됩니다</t>
    </r>
    <r>
      <rPr>
        <i/>
        <sz val="10"/>
        <color rgb="FF808080"/>
        <rFont val="Arial"/>
        <family val="2"/>
      </rPr>
      <t>.</t>
    </r>
  </si>
  <si>
    <t>연령대</t>
  </si>
  <si>
    <t>항목</t>
  </si>
  <si>
    <r>
      <rPr>
        <b/>
        <sz val="10"/>
        <color rgb="FFFFFFFF"/>
        <rFont val="Noto Sans CJK SC"/>
        <family val="2"/>
      </rPr>
      <t>인원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명</t>
    </r>
    <r>
      <rPr>
        <b/>
        <sz val="10"/>
        <color rgb="FFFFFFFF"/>
        <rFont val="Arial"/>
        <family val="2"/>
      </rPr>
      <t>)</t>
    </r>
  </si>
  <si>
    <t>비중</t>
  </si>
  <si>
    <r>
      <rPr>
        <b/>
        <sz val="11"/>
        <rFont val="Noto Sans CJK SC"/>
        <family val="2"/>
      </rPr>
      <t>거주 지역</t>
    </r>
    <r>
      <rPr>
        <b/>
        <sz val="11"/>
        <rFont val="Arial"/>
        <family val="2"/>
      </rPr>
      <t>(</t>
    </r>
    <r>
      <rPr>
        <b/>
        <sz val="11"/>
        <rFont val="Noto Sans CJK SC"/>
        <family val="2"/>
      </rPr>
      <t>시도</t>
    </r>
    <r>
      <rPr>
        <b/>
        <sz val="11"/>
        <rFont val="Arial"/>
        <family val="2"/>
      </rPr>
      <t>)</t>
    </r>
  </si>
  <si>
    <t>숙소 유형</t>
  </si>
  <si>
    <t>주 방문지 유형</t>
  </si>
  <si>
    <t>주 방문활동</t>
  </si>
  <si>
    <t>혼인 상태</t>
  </si>
  <si>
    <r>
      <rPr>
        <b/>
        <sz val="11"/>
        <rFont val="Noto Sans CJK SC"/>
        <family val="2"/>
      </rPr>
      <t xml:space="preserve">핵심 지표 </t>
    </r>
    <r>
      <rPr>
        <b/>
        <sz val="11"/>
        <rFont val="Arial"/>
        <family val="2"/>
      </rPr>
      <t>(</t>
    </r>
    <r>
      <rPr>
        <b/>
        <sz val="11"/>
        <rFont val="Noto Sans CJK SC"/>
        <family val="2"/>
      </rPr>
      <t>평균</t>
    </r>
    <r>
      <rPr>
        <b/>
        <sz val="11"/>
        <rFont val="Arial"/>
        <family val="2"/>
      </rPr>
      <t>)</t>
    </r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</si>
  <si>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번 여행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인 평균 소비액</t>
    </r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</si>
  <si>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>번 여행 소비액 중앙값</t>
    </r>
  </si>
  <si>
    <t>평균 여행 일수</t>
  </si>
  <si>
    <r>
      <rPr>
        <sz val="10"/>
        <rFont val="Noto Sans CJK SC"/>
        <family val="2"/>
      </rPr>
      <t>평균 방문지 수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방문 순서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</si>
  <si>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평균 재방문 의향 점수</t>
    </r>
    <r>
      <rPr>
        <sz val="10"/>
        <rFont val="Arial"/>
        <family val="2"/>
      </rPr>
      <t>(5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</si>
  <si>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평균 추천 의향 점수</t>
    </r>
    <r>
      <rPr>
        <sz val="10"/>
        <rFont val="Arial"/>
        <family val="2"/>
      </rPr>
      <t>(5</t>
    </r>
    <r>
      <rPr>
        <sz val="10"/>
        <rFont val="Noto Sans CJK SC"/>
        <family val="2"/>
      </rPr>
      <t>점</t>
    </r>
    <r>
      <rPr>
        <sz val="10"/>
        <rFont val="Arial"/>
        <family val="2"/>
      </rPr>
      <t>)</t>
    </r>
  </si>
  <si>
    <r>
      <rPr>
        <b/>
        <sz val="12"/>
        <color rgb="FF1F3864"/>
        <rFont val="Noto Sans CJK SC"/>
        <family val="2"/>
      </rPr>
      <t xml:space="preserve">페르소나 </t>
    </r>
    <r>
      <rPr>
        <b/>
        <sz val="12"/>
        <color rgb="FF1F3864"/>
        <rFont val="Arial"/>
        <family val="2"/>
      </rPr>
      <t xml:space="preserve">100 </t>
    </r>
    <r>
      <rPr>
        <b/>
        <sz val="12"/>
        <color rgb="FF1F3864"/>
        <rFont val="Noto Sans CJK SC"/>
        <family val="2"/>
      </rPr>
      <t xml:space="preserve">생성 방법 </t>
    </r>
    <r>
      <rPr>
        <b/>
        <sz val="12"/>
        <color rgb="FF1F3864"/>
        <rFont val="Arial"/>
        <family val="2"/>
      </rPr>
      <t xml:space="preserve">· </t>
    </r>
    <r>
      <rPr>
        <b/>
        <sz val="12"/>
        <color rgb="FF1F3864"/>
        <rFont val="Noto Sans CJK SC"/>
        <family val="2"/>
      </rPr>
      <t xml:space="preserve">전제 </t>
    </r>
    <r>
      <rPr>
        <b/>
        <sz val="12"/>
        <color rgb="FF1F3864"/>
        <rFont val="Arial"/>
        <family val="2"/>
      </rPr>
      <t xml:space="preserve">· </t>
    </r>
    <r>
      <rPr>
        <b/>
        <sz val="12"/>
        <color rgb="FF1F3864"/>
        <rFont val="Noto Sans CJK SC"/>
        <family val="2"/>
      </rPr>
      <t>한계</t>
    </r>
  </si>
  <si>
    <r>
      <rPr>
        <i/>
        <sz val="10"/>
        <color rgb="FF808080"/>
        <rFont val="Noto Sans CJK SC"/>
        <family val="2"/>
      </rPr>
      <t xml:space="preserve">작성일 </t>
    </r>
    <r>
      <rPr>
        <i/>
        <sz val="10"/>
        <color rgb="FF808080"/>
        <rFont val="Arial"/>
        <family val="2"/>
      </rPr>
      <t xml:space="preserve">2026-07-31 / </t>
    </r>
    <r>
      <rPr>
        <i/>
        <sz val="10"/>
        <color rgb="FF808080"/>
        <rFont val="Noto Sans CJK SC"/>
        <family val="2"/>
      </rPr>
      <t>파워</t>
    </r>
    <r>
      <rPr>
        <i/>
        <sz val="10"/>
        <color rgb="FF808080"/>
        <rFont val="Arial"/>
        <family val="2"/>
      </rPr>
      <t>BI</t>
    </r>
    <r>
      <rPr>
        <i/>
        <sz val="10"/>
        <color rgb="FF808080"/>
        <rFont val="Noto Sans CJK SC"/>
        <family val="2"/>
      </rPr>
      <t>레인저 데이터분석 프로젝트</t>
    </r>
  </si>
  <si>
    <r>
      <rPr>
        <b/>
        <sz val="11"/>
        <color rgb="FF1F3864"/>
        <rFont val="Arial"/>
        <family val="2"/>
      </rPr>
      <t xml:space="preserve">1. </t>
    </r>
    <r>
      <rPr>
        <b/>
        <sz val="11"/>
        <color rgb="FF1F3864"/>
        <rFont val="Noto Sans CJK SC"/>
        <family val="2"/>
      </rPr>
      <t>데이터 출처</t>
    </r>
  </si>
  <si>
    <r>
      <rPr>
        <sz val="10"/>
        <rFont val="Noto Sans CJK SC"/>
        <family val="2"/>
      </rPr>
      <t>원천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>프로젝트 제공 국내 여행 데이터셋</t>
    </r>
    <r>
      <rPr>
        <sz val="10"/>
        <rFont val="Arial"/>
        <family val="2"/>
      </rPr>
      <t>(tn_travel, tn_traveller_master, tn_visit_area_info,</t>
    </r>
  </si>
  <si>
    <t xml:space="preserve">      tn_activity_his, tn_move_his, tn_lodge/activity/mvmn/adv_consume_his, tc_codea/codeb, tc_sgg)</t>
  </si>
  <si>
    <r>
      <rPr>
        <sz val="10"/>
        <rFont val="Noto Sans CJK SC"/>
        <family val="2"/>
      </rPr>
      <t>수집 기간</t>
    </r>
    <r>
      <rPr>
        <sz val="10"/>
        <rFont val="Arial"/>
        <family val="2"/>
      </rPr>
      <t>: 2022-08-04 ~ 2022-11-14 (</t>
    </r>
    <r>
      <rPr>
        <sz val="10"/>
        <rFont val="Noto Sans CJK SC"/>
        <family val="2"/>
      </rPr>
      <t>여행 시작일</t>
    </r>
    <r>
      <rPr>
        <sz val="10"/>
        <rFont val="Arial"/>
        <family val="2"/>
      </rPr>
      <t>~</t>
    </r>
    <r>
      <rPr>
        <sz val="10"/>
        <rFont val="Noto Sans CJK SC"/>
        <family val="2"/>
      </rPr>
      <t>종료일 기준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</si>
  <si>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모집단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 xml:space="preserve">여행 </t>
    </r>
    <r>
      <rPr>
        <sz val="10"/>
        <rFont val="Arial"/>
        <family val="2"/>
      </rPr>
      <t>3,200</t>
    </r>
    <r>
      <rPr>
        <sz val="10"/>
        <rFont val="Noto Sans CJK SC"/>
        <family val="2"/>
      </rPr>
      <t xml:space="preserve">건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여행객 </t>
    </r>
    <r>
      <rPr>
        <sz val="10"/>
        <rFont val="Arial"/>
        <family val="2"/>
      </rPr>
      <t>3,200</t>
    </r>
    <r>
      <rPr>
        <sz val="10"/>
        <rFont val="Noto Sans CJK SC"/>
        <family val="2"/>
      </rPr>
      <t xml:space="preserve">명 </t>
    </r>
    <r>
      <rPr>
        <sz val="10"/>
        <rFont val="Arial"/>
        <family val="2"/>
      </rPr>
      <t>(1</t>
    </r>
    <r>
      <rPr>
        <sz val="10"/>
        <rFont val="Noto Sans CJK SC"/>
        <family val="2"/>
      </rPr>
      <t xml:space="preserve">인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여행</t>
    </r>
    <r>
      <rPr>
        <sz val="10"/>
        <rFont val="Arial"/>
        <family val="2"/>
      </rPr>
      <t>)</t>
    </r>
  </si>
  <si>
    <r>
      <rPr>
        <b/>
        <sz val="11"/>
        <color rgb="FF1F3864"/>
        <rFont val="Arial"/>
        <family val="2"/>
      </rPr>
      <t xml:space="preserve">2. </t>
    </r>
    <r>
      <rPr>
        <b/>
        <sz val="11"/>
        <color rgb="FF1F3864"/>
        <rFont val="Noto Sans CJK SC"/>
        <family val="2"/>
      </rPr>
      <t xml:space="preserve">생성 방식 — </t>
    </r>
    <r>
      <rPr>
        <b/>
        <sz val="11"/>
        <color rgb="FF1F3864"/>
        <rFont val="Arial"/>
        <family val="2"/>
      </rPr>
      <t>"</t>
    </r>
    <r>
      <rPr>
        <b/>
        <sz val="11"/>
        <color rgb="FF1F3864"/>
        <rFont val="Noto Sans CJK SC"/>
        <family val="2"/>
      </rPr>
      <t>임의 창작</t>
    </r>
    <r>
      <rPr>
        <b/>
        <sz val="11"/>
        <color rgb="FF1F3864"/>
        <rFont val="Arial"/>
        <family val="2"/>
      </rPr>
      <t>"</t>
    </r>
    <r>
      <rPr>
        <b/>
        <sz val="11"/>
        <color rgb="FF1F3864"/>
        <rFont val="Noto Sans CJK SC"/>
        <family val="2"/>
      </rPr>
      <t xml:space="preserve">이 아니라 </t>
    </r>
    <r>
      <rPr>
        <b/>
        <sz val="11"/>
        <color rgb="FF1F3864"/>
        <rFont val="Arial"/>
        <family val="2"/>
      </rPr>
      <t>"</t>
    </r>
    <r>
      <rPr>
        <b/>
        <sz val="11"/>
        <color rgb="FF1F3864"/>
        <rFont val="Noto Sans CJK SC"/>
        <family val="2"/>
      </rPr>
      <t>실제 레코드 디코딩</t>
    </r>
    <r>
      <rPr>
        <b/>
        <sz val="11"/>
        <color rgb="FF1F3864"/>
        <rFont val="Arial"/>
        <family val="2"/>
      </rPr>
      <t>"</t>
    </r>
  </si>
  <si>
    <r>
      <rPr>
        <sz val="10"/>
        <rFont val="Noto Sans CJK SC"/>
        <family val="2"/>
      </rPr>
      <t>요청은 임의 페르소나였으나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값을 지어내면 이후 분석과 수치가 어긋나므로</t>
    </r>
  </si>
  <si>
    <r>
      <rPr>
        <sz val="10"/>
        <rFont val="Noto Sans CJK SC"/>
        <family val="2"/>
      </rPr>
      <t xml:space="preserve">실제 여행 레코드 </t>
    </r>
    <r>
      <rPr>
        <sz val="10"/>
        <rFont val="Arial"/>
        <family val="2"/>
      </rPr>
      <t>100</t>
    </r>
    <r>
      <rPr>
        <sz val="10"/>
        <rFont val="Noto Sans CJK SC"/>
        <family val="2"/>
      </rPr>
      <t>건을 뽑아 코드값을 한글 라벨로 변환하는 방식으로 만들었습니다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</si>
  <si>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따라서 컬럼 간 조합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예</t>
    </r>
    <r>
      <rPr>
        <sz val="10"/>
        <rFont val="Arial"/>
        <family val="2"/>
      </rPr>
      <t>: 20</t>
    </r>
    <r>
      <rPr>
        <sz val="10"/>
        <rFont val="Noto Sans CJK SC"/>
        <family val="2"/>
      </rPr>
      <t>대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학생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소득없음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도보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이 현실적으로 유지됩니다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</si>
  <si>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표본 필터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>소비금액</t>
    </r>
    <r>
      <rPr>
        <sz val="10"/>
        <rFont val="Arial"/>
        <family val="2"/>
      </rPr>
      <t xml:space="preserve">&gt;0, </t>
    </r>
    <r>
      <rPr>
        <sz val="10"/>
        <rFont val="Noto Sans CJK SC"/>
        <family val="2"/>
      </rPr>
      <t xml:space="preserve">만족도 평가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건 이상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>방문지유형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방문활동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이동수단 모두 확인 가능</t>
    </r>
  </si>
  <si>
    <r>
      <rPr>
        <sz val="10"/>
        <rFont val="Arial"/>
        <family val="2"/>
      </rPr>
      <t xml:space="preserve">   → 3,200</t>
    </r>
    <r>
      <rPr>
        <sz val="10"/>
        <rFont val="Noto Sans CJK SC"/>
        <family val="2"/>
      </rPr>
      <t xml:space="preserve">건 중 </t>
    </r>
    <r>
      <rPr>
        <sz val="10"/>
        <rFont val="Arial"/>
        <family val="2"/>
      </rPr>
      <t>3,136</t>
    </r>
    <r>
      <rPr>
        <sz val="10"/>
        <rFont val="Noto Sans CJK SC"/>
        <family val="2"/>
      </rPr>
      <t>건</t>
    </r>
    <r>
      <rPr>
        <sz val="10"/>
        <rFont val="Arial"/>
        <family val="2"/>
      </rPr>
      <t>(98.0%)</t>
    </r>
    <r>
      <rPr>
        <sz val="10"/>
        <rFont val="Noto Sans CJK SC"/>
        <family val="2"/>
      </rPr>
      <t>이 통과</t>
    </r>
  </si>
  <si>
    <r>
      <rPr>
        <sz val="10"/>
        <rFont val="Noto Sans CJK SC"/>
        <family val="2"/>
      </rPr>
      <t>추출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 xml:space="preserve">성별 </t>
    </r>
    <r>
      <rPr>
        <sz val="10"/>
        <rFont val="Arial"/>
        <family val="2"/>
      </rPr>
      <t xml:space="preserve">x </t>
    </r>
    <r>
      <rPr>
        <sz val="10"/>
        <rFont val="Noto Sans CJK SC"/>
        <family val="2"/>
      </rPr>
      <t>연령대 비례 층화 무작위추출</t>
    </r>
    <r>
      <rPr>
        <sz val="10"/>
        <rFont val="Arial"/>
        <family val="2"/>
      </rPr>
      <t>, n=100, random_state=42 (</t>
    </r>
    <r>
      <rPr>
        <sz val="10"/>
        <rFont val="Noto Sans CJK SC"/>
        <family val="2"/>
      </rPr>
      <t>재현 가능</t>
    </r>
    <r>
      <rPr>
        <sz val="10"/>
        <rFont val="Arial"/>
        <family val="2"/>
      </rPr>
      <t>)</t>
    </r>
  </si>
  <si>
    <r>
      <rPr>
        <b/>
        <sz val="11"/>
        <color rgb="FF1F3864"/>
        <rFont val="Arial"/>
        <family val="2"/>
      </rPr>
      <t xml:space="preserve">3. </t>
    </r>
    <r>
      <rPr>
        <b/>
        <sz val="11"/>
        <color rgb="FF1F3864"/>
        <rFont val="Noto Sans CJK SC"/>
        <family val="2"/>
      </rPr>
      <t xml:space="preserve">컬럼별 산식 </t>
    </r>
    <r>
      <rPr>
        <b/>
        <sz val="11"/>
        <color rgb="FF1F3864"/>
        <rFont val="Arial"/>
        <family val="2"/>
      </rPr>
      <t xml:space="preserve">/ </t>
    </r>
    <r>
      <rPr>
        <b/>
        <sz val="11"/>
        <color rgb="FF1F3864"/>
        <rFont val="Noto Sans CJK SC"/>
        <family val="2"/>
      </rPr>
      <t>정의</t>
    </r>
  </si>
  <si>
    <r>
      <rPr>
        <sz val="10"/>
        <rFont val="Noto Sans CJK SC"/>
        <family val="2"/>
      </rPr>
      <t xml:space="preserve">사는 지역 </t>
    </r>
    <r>
      <rPr>
        <sz val="10"/>
        <rFont val="Arial"/>
        <family val="2"/>
      </rPr>
      <t>= RESIDENCE_SGG_CD(</t>
    </r>
    <r>
      <rPr>
        <sz val="10"/>
        <rFont val="Noto Sans CJK SC"/>
        <family val="2"/>
      </rPr>
      <t xml:space="preserve">시도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자리</t>
    </r>
    <r>
      <rPr>
        <sz val="10"/>
        <rFont val="Arial"/>
        <family val="2"/>
      </rPr>
      <t>) → tc_sgg SIDO_NM</t>
    </r>
  </si>
  <si>
    <r>
      <rPr>
        <sz val="10"/>
        <rFont val="Noto Sans CJK SC"/>
        <family val="2"/>
      </rPr>
      <t xml:space="preserve">선호하는 숙소 유형 </t>
    </r>
    <r>
      <rPr>
        <sz val="10"/>
        <rFont val="Arial"/>
        <family val="2"/>
      </rPr>
      <t xml:space="preserve">= </t>
    </r>
    <r>
      <rPr>
        <sz val="10"/>
        <rFont val="Noto Sans CJK SC"/>
        <family val="2"/>
      </rPr>
      <t xml:space="preserve">해당 여행의 </t>
    </r>
    <r>
      <rPr>
        <sz val="10"/>
        <rFont val="Arial"/>
        <family val="2"/>
      </rPr>
      <t xml:space="preserve">LODGING_TYPE_CD </t>
    </r>
    <r>
      <rPr>
        <sz val="10"/>
        <rFont val="Noto Sans CJK SC"/>
        <family val="2"/>
      </rPr>
      <t xml:space="preserve">최빈값 → </t>
    </r>
    <r>
      <rPr>
        <sz val="10"/>
        <rFont val="Arial"/>
        <family val="2"/>
      </rPr>
      <t xml:space="preserve">HTY </t>
    </r>
    <r>
      <rPr>
        <sz val="10"/>
        <rFont val="Noto Sans CJK SC"/>
        <family val="2"/>
      </rPr>
      <t xml:space="preserve">코드 </t>
    </r>
    <r>
      <rPr>
        <sz val="10"/>
        <rFont val="Arial"/>
        <family val="2"/>
      </rPr>
      <t xml:space="preserve">(tn_visit_area </t>
    </r>
    <r>
      <rPr>
        <sz val="10"/>
        <rFont val="Noto Sans CJK SC"/>
        <family val="2"/>
      </rPr>
      <t>우선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없으면 </t>
    </r>
    <r>
      <rPr>
        <sz val="10"/>
        <rFont val="Arial"/>
        <family val="2"/>
      </rPr>
      <t>tn_lodge_consume)</t>
    </r>
  </si>
  <si>
    <r>
      <rPr>
        <sz val="10"/>
        <rFont val="Noto Sans CJK SC"/>
        <family val="2"/>
      </rPr>
      <t xml:space="preserve">소득 수준 </t>
    </r>
    <r>
      <rPr>
        <sz val="10"/>
        <rFont val="Arial"/>
        <family val="2"/>
      </rPr>
      <t xml:space="preserve">= INCOME → INC </t>
    </r>
    <r>
      <rPr>
        <sz val="10"/>
        <rFont val="Noto Sans CJK SC"/>
        <family val="2"/>
      </rPr>
      <t xml:space="preserve">코드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본인 월평균 소득 구간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</si>
  <si>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국내 여행 횟수 </t>
    </r>
    <r>
      <rPr>
        <sz val="10"/>
        <rFont val="Arial"/>
        <family val="2"/>
      </rPr>
      <t xml:space="preserve">= TRAVEL_NUM </t>
    </r>
    <r>
      <rPr>
        <sz val="10"/>
        <rFont val="Noto Sans CJK SC"/>
        <family val="2"/>
      </rPr>
      <t xml:space="preserve">회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기준 기간 </t>
    </r>
    <r>
      <rPr>
        <sz val="10"/>
        <rFont val="Arial"/>
        <family val="2"/>
      </rPr>
      <t xml:space="preserve">= TRAVEL_TERM → TTM </t>
    </r>
    <r>
      <rPr>
        <sz val="10"/>
        <rFont val="Noto Sans CJK SC"/>
        <family val="2"/>
      </rPr>
      <t>코드</t>
    </r>
    <r>
      <rPr>
        <sz val="10"/>
        <rFont val="Arial"/>
        <family val="2"/>
      </rPr>
      <t>: 1</t>
    </r>
    <r>
      <rPr>
        <sz val="10"/>
        <rFont val="Noto Sans CJK SC"/>
        <family val="2"/>
      </rPr>
      <t>주일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한달</t>
    </r>
    <r>
      <rPr>
        <sz val="10"/>
        <rFont val="Arial"/>
        <family val="2"/>
      </rPr>
      <t>/1</t>
    </r>
    <r>
      <rPr>
        <sz val="10"/>
        <rFont val="Noto Sans CJK SC"/>
        <family val="2"/>
      </rPr>
      <t>년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</si>
  <si>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부양 가족 수 </t>
    </r>
    <r>
      <rPr>
        <sz val="10"/>
        <rFont val="Arial"/>
        <family val="2"/>
      </rPr>
      <t xml:space="preserve">= FAMILY_MEMB (※ </t>
    </r>
    <r>
      <rPr>
        <sz val="10"/>
        <rFont val="Noto Sans CJK SC"/>
        <family val="2"/>
      </rPr>
      <t xml:space="preserve">원 정의는 </t>
    </r>
    <r>
      <rPr>
        <sz val="10"/>
        <rFont val="Arial"/>
        <family val="2"/>
      </rPr>
      <t>"</t>
    </r>
    <r>
      <rPr>
        <sz val="10"/>
        <rFont val="Noto Sans CJK SC"/>
        <family val="2"/>
      </rPr>
      <t>가구원 수</t>
    </r>
    <r>
      <rPr>
        <sz val="10"/>
        <rFont val="Arial"/>
        <family val="2"/>
      </rPr>
      <t>"</t>
    </r>
    <r>
      <rPr>
        <sz val="10"/>
        <rFont val="Noto Sans CJK SC"/>
        <family val="2"/>
      </rPr>
      <t>이며 부양가족과 정확히 일치하지 않음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</si>
  <si>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결제방식 </t>
    </r>
    <r>
      <rPr>
        <sz val="10"/>
        <rFont val="Arial"/>
        <family val="2"/>
      </rPr>
      <t>= 4</t>
    </r>
    <r>
      <rPr>
        <sz val="10"/>
        <rFont val="Noto Sans CJK SC"/>
        <family val="2"/>
      </rPr>
      <t xml:space="preserve">개 소비 테이블 결제건 중 </t>
    </r>
    <r>
      <rPr>
        <sz val="10"/>
        <rFont val="Arial"/>
        <family val="2"/>
      </rPr>
      <t xml:space="preserve">PAYMENT_MTHD_SE </t>
    </r>
    <r>
      <rPr>
        <sz val="10"/>
        <rFont val="Noto Sans CJK SC"/>
        <family val="2"/>
      </rPr>
      <t xml:space="preserve">최빈값 → </t>
    </r>
    <r>
      <rPr>
        <sz val="10"/>
        <rFont val="Arial"/>
        <family val="2"/>
      </rPr>
      <t xml:space="preserve">PAY </t>
    </r>
    <r>
      <rPr>
        <sz val="10"/>
        <rFont val="Noto Sans CJK SC"/>
        <family val="2"/>
      </rPr>
      <t>코드</t>
    </r>
  </si>
  <si>
    <r>
      <rPr>
        <sz val="10"/>
        <rFont val="Noto Sans CJK SC"/>
        <family val="2"/>
      </rPr>
      <t>방문활동</t>
    </r>
    <r>
      <rPr>
        <sz val="10"/>
        <rFont val="Arial"/>
        <family val="2"/>
      </rPr>
      <t>(ACT) = tn_activity_his</t>
    </r>
    <r>
      <rPr>
        <sz val="10"/>
        <rFont val="Noto Sans CJK SC"/>
        <family val="2"/>
      </rPr>
      <t xml:space="preserve">의 </t>
    </r>
    <r>
      <rPr>
        <sz val="10"/>
        <rFont val="Arial"/>
        <family val="2"/>
      </rPr>
      <t xml:space="preserve">ACTIVITY_TYPE_CD </t>
    </r>
    <r>
      <rPr>
        <sz val="10"/>
        <rFont val="Noto Sans CJK SC"/>
        <family val="2"/>
      </rPr>
      <t xml:space="preserve">최빈값 </t>
    </r>
    <r>
      <rPr>
        <sz val="10"/>
        <rFont val="Arial"/>
        <family val="2"/>
      </rPr>
      <t xml:space="preserve">(7 </t>
    </r>
    <r>
      <rPr>
        <sz val="10"/>
        <rFont val="Noto Sans CJK SC"/>
        <family val="2"/>
      </rPr>
      <t>환승</t>
    </r>
    <r>
      <rPr>
        <sz val="10"/>
        <rFont val="Arial"/>
        <family val="2"/>
      </rPr>
      <t xml:space="preserve">·99 </t>
    </r>
    <r>
      <rPr>
        <sz val="10"/>
        <rFont val="Noto Sans CJK SC"/>
        <family val="2"/>
      </rPr>
      <t>없음 제외</t>
    </r>
    <r>
      <rPr>
        <sz val="10"/>
        <rFont val="Arial"/>
        <family val="2"/>
      </rPr>
      <t xml:space="preserve">) → ACT </t>
    </r>
    <r>
      <rPr>
        <sz val="10"/>
        <rFont val="Noto Sans CJK SC"/>
        <family val="2"/>
      </rPr>
      <t>코드</t>
    </r>
  </si>
  <si>
    <r>
      <rPr>
        <sz val="10"/>
        <rFont val="Noto Sans CJK SC"/>
        <family val="2"/>
      </rPr>
      <t>방문지유형</t>
    </r>
    <r>
      <rPr>
        <sz val="10"/>
        <rFont val="Arial"/>
        <family val="2"/>
      </rPr>
      <t xml:space="preserve">(VIS) = VISIT_AREA_TYPE_CD </t>
    </r>
    <r>
      <rPr>
        <sz val="10"/>
        <rFont val="Noto Sans CJK SC"/>
        <family val="2"/>
      </rPr>
      <t xml:space="preserve">최빈값 </t>
    </r>
    <r>
      <rPr>
        <sz val="10"/>
        <rFont val="Arial"/>
        <family val="2"/>
      </rPr>
      <t xml:space="preserve">(21 </t>
    </r>
    <r>
      <rPr>
        <sz val="10"/>
        <rFont val="Noto Sans CJK SC"/>
        <family val="2"/>
      </rPr>
      <t>집</t>
    </r>
    <r>
      <rPr>
        <sz val="10"/>
        <rFont val="Arial"/>
        <family val="2"/>
      </rPr>
      <t xml:space="preserve">·22 </t>
    </r>
    <r>
      <rPr>
        <sz val="10"/>
        <rFont val="Noto Sans CJK SC"/>
        <family val="2"/>
      </rPr>
      <t>친지집</t>
    </r>
    <r>
      <rPr>
        <sz val="10"/>
        <rFont val="Arial"/>
        <family val="2"/>
      </rPr>
      <t xml:space="preserve">·23 </t>
    </r>
    <r>
      <rPr>
        <sz val="10"/>
        <rFont val="Noto Sans CJK SC"/>
        <family val="2"/>
      </rPr>
      <t>사무실</t>
    </r>
    <r>
      <rPr>
        <sz val="10"/>
        <rFont val="Arial"/>
        <family val="2"/>
      </rPr>
      <t xml:space="preserve">·24 </t>
    </r>
    <r>
      <rPr>
        <sz val="10"/>
        <rFont val="Noto Sans CJK SC"/>
        <family val="2"/>
      </rPr>
      <t>숙소 제외</t>
    </r>
    <r>
      <rPr>
        <sz val="10"/>
        <rFont val="Arial"/>
        <family val="2"/>
      </rPr>
      <t xml:space="preserve">) → VIS </t>
    </r>
    <r>
      <rPr>
        <sz val="10"/>
        <rFont val="Noto Sans CJK SC"/>
        <family val="2"/>
      </rPr>
      <t>코드</t>
    </r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</si>
  <si>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번 여행 시 소비 금액 </t>
    </r>
    <r>
      <rPr>
        <sz val="10"/>
        <rFont val="Arial"/>
        <family val="2"/>
      </rPr>
      <t xml:space="preserve">= </t>
    </r>
    <r>
      <rPr>
        <sz val="10"/>
        <rFont val="Noto Sans CJK SC"/>
        <family val="2"/>
      </rPr>
      <t xml:space="preserve">해당 </t>
    </r>
    <r>
      <rPr>
        <sz val="10"/>
        <rFont val="Arial"/>
        <family val="2"/>
      </rPr>
      <t>TRAVEL_ID</t>
    </r>
    <r>
      <rPr>
        <sz val="10"/>
        <rFont val="Noto Sans CJK SC"/>
        <family val="2"/>
      </rPr>
      <t>의 활동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숙박</t>
    </r>
    <r>
      <rPr>
        <sz val="10"/>
        <rFont val="Arial"/>
        <family val="2"/>
      </rPr>
      <t>+</t>
    </r>
    <r>
      <rPr>
        <sz val="10"/>
        <rFont val="Noto Sans CJK SC"/>
        <family val="2"/>
      </rPr>
      <t>이동수단</t>
    </r>
    <r>
      <rPr>
        <sz val="10"/>
        <rFont val="Arial"/>
        <family val="2"/>
      </rPr>
      <t>+</t>
    </r>
    <r>
      <rPr>
        <sz val="10"/>
        <rFont val="Noto Sans CJK SC"/>
        <family val="2"/>
      </rPr>
      <t xml:space="preserve">사전 소비 </t>
    </r>
    <r>
      <rPr>
        <sz val="10"/>
        <rFont val="Arial"/>
        <family val="2"/>
      </rPr>
      <t xml:space="preserve">PAYMENT_AMT_WON </t>
    </r>
    <r>
      <rPr>
        <sz val="10"/>
        <rFont val="Noto Sans CJK SC"/>
        <family val="2"/>
      </rPr>
      <t>합계</t>
    </r>
  </si>
  <si>
    <r>
      <rPr>
        <sz val="10"/>
        <rFont val="Noto Sans CJK SC"/>
        <family val="2"/>
      </rPr>
      <t xml:space="preserve">주 이동수단 </t>
    </r>
    <r>
      <rPr>
        <sz val="10"/>
        <rFont val="Arial"/>
        <family val="2"/>
      </rPr>
      <t>= tn_move_his</t>
    </r>
    <r>
      <rPr>
        <sz val="10"/>
        <rFont val="Noto Sans CJK SC"/>
        <family val="2"/>
      </rPr>
      <t xml:space="preserve">의 </t>
    </r>
    <r>
      <rPr>
        <sz val="10"/>
        <rFont val="Arial"/>
        <family val="2"/>
      </rPr>
      <t xml:space="preserve">MVMN_CD_1 </t>
    </r>
    <r>
      <rPr>
        <sz val="10"/>
        <rFont val="Noto Sans CJK SC"/>
        <family val="2"/>
      </rPr>
      <t xml:space="preserve">최빈값 → </t>
    </r>
    <r>
      <rPr>
        <sz val="10"/>
        <rFont val="Arial"/>
        <family val="2"/>
      </rPr>
      <t xml:space="preserve">MOV </t>
    </r>
    <r>
      <rPr>
        <sz val="10"/>
        <rFont val="Noto Sans CJK SC"/>
        <family val="2"/>
      </rPr>
      <t>코드</t>
    </r>
  </si>
  <si>
    <r>
      <rPr>
        <sz val="10"/>
        <rFont val="Noto Sans CJK SC"/>
        <family val="2"/>
      </rPr>
      <t xml:space="preserve">여행 목적 </t>
    </r>
    <r>
      <rPr>
        <sz val="10"/>
        <rFont val="Arial"/>
        <family val="2"/>
      </rPr>
      <t xml:space="preserve">= TRAVEL_PURPOSE </t>
    </r>
    <r>
      <rPr>
        <sz val="10"/>
        <rFont val="Noto Sans CJK SC"/>
        <family val="2"/>
      </rPr>
      <t xml:space="preserve">다중코드 중 앞 </t>
    </r>
    <r>
      <rPr>
        <sz val="10"/>
        <rFont val="Arial"/>
        <family val="2"/>
      </rPr>
      <t>3</t>
    </r>
    <r>
      <rPr>
        <sz val="10"/>
        <rFont val="Noto Sans CJK SC"/>
        <family val="2"/>
      </rPr>
      <t xml:space="preserve">개 → </t>
    </r>
    <r>
      <rPr>
        <sz val="10"/>
        <rFont val="Arial"/>
        <family val="2"/>
      </rPr>
      <t xml:space="preserve">MIS </t>
    </r>
    <r>
      <rPr>
        <sz val="10"/>
        <rFont val="Noto Sans CJK SC"/>
        <family val="2"/>
      </rPr>
      <t>코드</t>
    </r>
  </si>
  <si>
    <r>
      <rPr>
        <sz val="10"/>
        <rFont val="Noto Sans CJK SC"/>
        <family val="2"/>
      </rPr>
      <t xml:space="preserve">여행 일수 </t>
    </r>
    <r>
      <rPr>
        <sz val="10"/>
        <rFont val="Arial"/>
        <family val="2"/>
      </rPr>
      <t>= TRAVEL_END_YMD - TRAVEL_START_YMD + 1 (</t>
    </r>
    <r>
      <rPr>
        <sz val="10"/>
        <rFont val="Noto Sans CJK SC"/>
        <family val="2"/>
      </rPr>
      <t>당일 포함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</si>
  <si>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방문 순서 </t>
    </r>
    <r>
      <rPr>
        <sz val="10"/>
        <rFont val="Arial"/>
        <family val="2"/>
      </rPr>
      <t xml:space="preserve">= </t>
    </r>
    <r>
      <rPr>
        <sz val="10"/>
        <rFont val="Noto Sans CJK SC"/>
        <family val="2"/>
      </rPr>
      <t xml:space="preserve">목적지 방문지 수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집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친지집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사무실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숙소 제외한 방문 건수</t>
    </r>
    <r>
      <rPr>
        <sz val="10"/>
        <rFont val="Arial"/>
        <family val="2"/>
      </rPr>
      <t xml:space="preserve">). </t>
    </r>
    <r>
      <rPr>
        <sz val="10"/>
        <rFont val="Noto Sans CJK SC"/>
        <family val="2"/>
      </rPr>
      <t xml:space="preserve">원본은 방문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건당 순번이므로 여행 단위로 집계</t>
    </r>
  </si>
  <si>
    <r>
      <rPr>
        <sz val="10"/>
        <rFont val="Noto Sans CJK SC"/>
        <family val="2"/>
      </rPr>
      <t>재방문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추천 의향 점수 </t>
    </r>
    <r>
      <rPr>
        <sz val="10"/>
        <rFont val="Arial"/>
        <family val="2"/>
      </rPr>
      <t xml:space="preserve">= </t>
    </r>
    <r>
      <rPr>
        <sz val="10"/>
        <rFont val="Noto Sans CJK SC"/>
        <family val="2"/>
      </rPr>
      <t xml:space="preserve">여행 내 방문지별 </t>
    </r>
    <r>
      <rPr>
        <sz val="10"/>
        <rFont val="Arial"/>
        <family val="2"/>
      </rPr>
      <t xml:space="preserve">REVISIT_INTENTION / RCMDTN_INTENTION </t>
    </r>
    <r>
      <rPr>
        <sz val="10"/>
        <rFont val="Noto Sans CJK SC"/>
        <family val="2"/>
      </rPr>
      <t xml:space="preserve">평균 </t>
    </r>
    <r>
      <rPr>
        <sz val="10"/>
        <rFont val="Arial"/>
        <family val="2"/>
      </rPr>
      <t>(5</t>
    </r>
    <r>
      <rPr>
        <sz val="10"/>
        <rFont val="Noto Sans CJK SC"/>
        <family val="2"/>
      </rPr>
      <t>점 척도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소수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자리</t>
    </r>
    <r>
      <rPr>
        <sz val="10"/>
        <rFont val="Arial"/>
        <family val="2"/>
      </rPr>
      <t>)</t>
    </r>
  </si>
  <si>
    <r>
      <rPr>
        <b/>
        <sz val="11"/>
        <color rgb="FF1F3864"/>
        <rFont val="Arial"/>
        <family val="2"/>
      </rPr>
      <t xml:space="preserve">4. </t>
    </r>
    <r>
      <rPr>
        <b/>
        <sz val="11"/>
        <color rgb="FF1F3864"/>
        <rFont val="Noto Sans CJK SC"/>
        <family val="2"/>
      </rPr>
      <t>전처리 처리 내역</t>
    </r>
  </si>
  <si>
    <r>
      <rPr>
        <sz val="10"/>
        <rFont val="Noto Sans CJK SC"/>
        <family val="2"/>
      </rPr>
      <t>결측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 xml:space="preserve">추정하지 않고 </t>
    </r>
    <r>
      <rPr>
        <sz val="10"/>
        <rFont val="Arial"/>
        <family val="2"/>
      </rPr>
      <t>"</t>
    </r>
    <r>
      <rPr>
        <sz val="10"/>
        <rFont val="Noto Sans CJK SC"/>
        <family val="2"/>
      </rPr>
      <t>데이터 없음</t>
    </r>
    <r>
      <rPr>
        <sz val="10"/>
        <rFont val="Arial"/>
        <family val="2"/>
      </rPr>
      <t>"</t>
    </r>
    <r>
      <rPr>
        <sz val="10"/>
        <rFont val="Noto Sans CJK SC"/>
        <family val="2"/>
      </rPr>
      <t xml:space="preserve">으로 표기 — 숙소유형 </t>
    </r>
    <r>
      <rPr>
        <sz val="10"/>
        <rFont val="Arial"/>
        <family val="2"/>
      </rPr>
      <t>61</t>
    </r>
    <r>
      <rPr>
        <sz val="10"/>
        <rFont val="Noto Sans CJK SC"/>
        <family val="2"/>
      </rPr>
      <t>건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직업 </t>
    </r>
    <r>
      <rPr>
        <sz val="10"/>
        <rFont val="Arial"/>
        <family val="2"/>
      </rPr>
      <t>5</t>
    </r>
    <r>
      <rPr>
        <sz val="10"/>
        <rFont val="Noto Sans CJK SC"/>
        <family val="2"/>
      </rPr>
      <t>건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결제방식 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건</t>
    </r>
    <r>
      <rPr>
        <sz val="10"/>
        <rFont val="Arial"/>
        <family val="2"/>
      </rPr>
      <t xml:space="preserve">, </t>
    </r>
    <r>
      <rPr>
        <sz val="10"/>
        <rFont val="Noto Sans CJK SC"/>
        <family val="2"/>
      </rPr>
      <t xml:space="preserve">주요 여행지 </t>
    </r>
    <r>
      <rPr>
        <sz val="10"/>
        <rFont val="Arial"/>
        <family val="2"/>
      </rPr>
      <t>19</t>
    </r>
    <r>
      <rPr>
        <sz val="10"/>
        <rFont val="Noto Sans CJK SC"/>
        <family val="2"/>
      </rPr>
      <t>건</t>
    </r>
  </si>
  <si>
    <r>
      <rPr>
        <sz val="10"/>
        <rFont val="Noto Sans CJK SC"/>
        <family val="2"/>
      </rPr>
      <t>중복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 xml:space="preserve">없음 </t>
    </r>
    <r>
      <rPr>
        <sz val="10"/>
        <rFont val="Arial"/>
        <family val="2"/>
      </rPr>
      <t>(TRAVEL_ID</t>
    </r>
    <r>
      <rPr>
        <sz val="10"/>
        <rFont val="Noto Sans CJK SC"/>
        <family val="2"/>
      </rPr>
      <t>는 표본 내 유일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</si>
  <si>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이상치</t>
    </r>
    <r>
      <rPr>
        <sz val="10"/>
        <rFont val="Arial"/>
        <family val="2"/>
      </rPr>
      <t xml:space="preserve">: </t>
    </r>
    <r>
      <rPr>
        <sz val="10"/>
        <rFont val="Noto Sans CJK SC"/>
        <family val="2"/>
      </rPr>
      <t>제거하지 않음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소비금액 최댓값 </t>
    </r>
    <r>
      <rPr>
        <sz val="10"/>
        <rFont val="Arial"/>
        <family val="2"/>
      </rPr>
      <t>1,127,000</t>
    </r>
    <r>
      <rPr>
        <sz val="10"/>
        <rFont val="Noto Sans CJK SC"/>
        <family val="2"/>
      </rPr>
      <t>원도 원본 그대로 유지</t>
    </r>
  </si>
  <si>
    <r>
      <rPr>
        <sz val="10"/>
        <rFont val="Noto Sans CJK SC"/>
        <family val="2"/>
      </rPr>
      <t>인코딩</t>
    </r>
    <r>
      <rPr>
        <sz val="10"/>
        <rFont val="Arial"/>
        <family val="2"/>
      </rPr>
      <t xml:space="preserve">: tn_activity_consume_his </t>
    </r>
    <r>
      <rPr>
        <sz val="10"/>
        <rFont val="Noto Sans CJK SC"/>
        <family val="2"/>
      </rPr>
      <t>한글수정본</t>
    </r>
    <r>
      <rPr>
        <sz val="10"/>
        <rFont val="Arial"/>
        <family val="2"/>
      </rPr>
      <t>(cp1252)</t>
    </r>
    <r>
      <rPr>
        <sz val="10"/>
        <rFont val="Noto Sans CJK SC"/>
        <family val="2"/>
      </rPr>
      <t xml:space="preserve">은 중복이므로 원본 </t>
    </r>
    <r>
      <rPr>
        <sz val="10"/>
        <rFont val="Arial"/>
        <family val="2"/>
      </rPr>
      <t xml:space="preserve">utf-8 </t>
    </r>
    <r>
      <rPr>
        <sz val="10"/>
        <rFont val="Noto Sans CJK SC"/>
        <family val="2"/>
      </rPr>
      <t>파일만 사용</t>
    </r>
  </si>
  <si>
    <r>
      <rPr>
        <b/>
        <sz val="11"/>
        <color rgb="FF1F3864"/>
        <rFont val="Arial"/>
        <family val="2"/>
      </rPr>
      <t xml:space="preserve">5. </t>
    </r>
    <r>
      <rPr>
        <b/>
        <sz val="11"/>
        <color rgb="FF1F3864"/>
        <rFont val="Noto Sans CJK SC"/>
        <family val="2"/>
      </rPr>
      <t xml:space="preserve">한계 </t>
    </r>
    <r>
      <rPr>
        <b/>
        <sz val="11"/>
        <color rgb="FF1F3864"/>
        <rFont val="Arial"/>
        <family val="2"/>
      </rPr>
      <t>(</t>
    </r>
    <r>
      <rPr>
        <b/>
        <sz val="11"/>
        <color rgb="FF1F3864"/>
        <rFont val="Noto Sans CJK SC"/>
        <family val="2"/>
      </rPr>
      <t>해석 시 반드시 고려</t>
    </r>
    <r>
      <rPr>
        <b/>
        <sz val="11"/>
        <color rgb="FF1F3864"/>
        <rFont val="Arial"/>
        <family val="2"/>
      </rPr>
      <t>)</t>
    </r>
  </si>
  <si>
    <r>
      <rPr>
        <sz val="10"/>
        <rFont val="Arial"/>
        <family val="2"/>
      </rPr>
      <t xml:space="preserve">(1) </t>
    </r>
    <r>
      <rPr>
        <sz val="10"/>
        <rFont val="Noto Sans CJK SC"/>
        <family val="2"/>
      </rPr>
      <t xml:space="preserve">숙소 유형은 </t>
    </r>
    <r>
      <rPr>
        <sz val="10"/>
        <rFont val="Arial"/>
        <family val="2"/>
      </rPr>
      <t>3,200</t>
    </r>
    <r>
      <rPr>
        <sz val="10"/>
        <rFont val="Noto Sans CJK SC"/>
        <family val="2"/>
      </rPr>
      <t xml:space="preserve">건 중 </t>
    </r>
    <r>
      <rPr>
        <sz val="10"/>
        <rFont val="Arial"/>
        <family val="2"/>
      </rPr>
      <t>1,160</t>
    </r>
    <r>
      <rPr>
        <sz val="10"/>
        <rFont val="Noto Sans CJK SC"/>
        <family val="2"/>
      </rPr>
      <t>건</t>
    </r>
    <r>
      <rPr>
        <sz val="10"/>
        <rFont val="Arial"/>
        <family val="2"/>
      </rPr>
      <t>(36.3%)</t>
    </r>
    <r>
      <rPr>
        <sz val="10"/>
        <rFont val="Noto Sans CJK SC"/>
        <family val="2"/>
      </rPr>
      <t xml:space="preserve">만 확인 가능 — 표본 </t>
    </r>
    <r>
      <rPr>
        <sz val="10"/>
        <rFont val="Arial"/>
        <family val="2"/>
      </rPr>
      <t>61</t>
    </r>
    <r>
      <rPr>
        <sz val="10"/>
        <rFont val="Noto Sans CJK SC"/>
        <family val="2"/>
      </rPr>
      <t xml:space="preserve">건이 </t>
    </r>
    <r>
      <rPr>
        <sz val="10"/>
        <rFont val="Arial"/>
        <family val="2"/>
      </rPr>
      <t>"</t>
    </r>
    <r>
      <rPr>
        <sz val="10"/>
        <rFont val="Noto Sans CJK SC"/>
        <family val="2"/>
      </rPr>
      <t>데이터 없음</t>
    </r>
    <r>
      <rPr>
        <sz val="10"/>
        <rFont val="Arial"/>
        <family val="2"/>
      </rPr>
      <t>"</t>
    </r>
    <r>
      <rPr>
        <sz val="10"/>
        <rFont val="Noto Sans CJK SC"/>
        <family val="2"/>
      </rPr>
      <t>인 것은</t>
    </r>
  </si>
  <si>
    <r>
      <rPr>
        <sz val="10"/>
        <rFont val="Noto Sans CJK SC"/>
        <family val="2"/>
      </rPr>
      <t xml:space="preserve">    표본 편향이 아니라 원본의 결측률</t>
    </r>
    <r>
      <rPr>
        <sz val="10"/>
        <rFont val="Arial"/>
        <family val="2"/>
      </rPr>
      <t>(63.7%)</t>
    </r>
    <r>
      <rPr>
        <sz val="10"/>
        <rFont val="Noto Sans CJK SC"/>
        <family val="2"/>
      </rPr>
      <t>을 그대로 반영한 결과입니다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</si>
  <si>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 xml:space="preserve">(2) </t>
    </r>
    <r>
      <rPr>
        <sz val="10"/>
        <rFont val="Noto Sans CJK SC"/>
        <family val="2"/>
      </rPr>
      <t xml:space="preserve">데이터셋에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일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당일</t>
    </r>
    <r>
      <rPr>
        <sz val="10"/>
        <rFont val="Arial"/>
        <family val="2"/>
      </rPr>
      <t xml:space="preserve">) </t>
    </r>
    <r>
      <rPr>
        <sz val="10"/>
        <rFont val="Noto Sans CJK SC"/>
        <family val="2"/>
      </rPr>
      <t xml:space="preserve">여행이 </t>
    </r>
    <r>
      <rPr>
        <sz val="10"/>
        <rFont val="Arial"/>
        <family val="2"/>
      </rPr>
      <t>0</t>
    </r>
    <r>
      <rPr>
        <sz val="10"/>
        <rFont val="Noto Sans CJK SC"/>
        <family val="2"/>
      </rPr>
      <t xml:space="preserve">건 — 최소 </t>
    </r>
    <r>
      <rPr>
        <sz val="10"/>
        <rFont val="Arial"/>
        <family val="2"/>
      </rPr>
      <t>2</t>
    </r>
    <r>
      <rPr>
        <sz val="10"/>
        <rFont val="Noto Sans CJK SC"/>
        <family val="2"/>
      </rPr>
      <t>일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즉 숙박여행 편중 표본이며</t>
    </r>
  </si>
  <si>
    <r>
      <rPr>
        <sz val="10"/>
        <rFont val="Noto Sans CJK SC"/>
        <family val="2"/>
      </rPr>
      <t xml:space="preserve">    당일치기 여행객 페르소나는 이 데이터로 만들 수 없습니다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</si>
  <si>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 xml:space="preserve">(3) </t>
    </r>
    <r>
      <rPr>
        <sz val="10"/>
        <rFont val="Noto Sans CJK SC"/>
        <family val="2"/>
      </rPr>
      <t xml:space="preserve">수집 기간이 </t>
    </r>
    <r>
      <rPr>
        <sz val="10"/>
        <rFont val="Arial"/>
        <family val="2"/>
      </rPr>
      <t>2022</t>
    </r>
    <r>
      <rPr>
        <sz val="10"/>
        <rFont val="Noto Sans CJK SC"/>
        <family val="2"/>
      </rPr>
      <t xml:space="preserve">년 </t>
    </r>
    <r>
      <rPr>
        <sz val="10"/>
        <rFont val="Arial"/>
        <family val="2"/>
      </rPr>
      <t>8~11</t>
    </r>
    <r>
      <rPr>
        <sz val="10"/>
        <rFont val="Noto Sans CJK SC"/>
        <family val="2"/>
      </rPr>
      <t>월</t>
    </r>
    <r>
      <rPr>
        <sz val="10"/>
        <rFont val="Arial"/>
        <family val="2"/>
      </rPr>
      <t>(</t>
    </r>
    <r>
      <rPr>
        <sz val="10"/>
        <rFont val="Noto Sans CJK SC"/>
        <family val="2"/>
      </rPr>
      <t xml:space="preserve">가을 </t>
    </r>
    <r>
      <rPr>
        <sz val="10"/>
        <rFont val="Arial"/>
        <family val="2"/>
      </rPr>
      <t>3.5</t>
    </r>
    <r>
      <rPr>
        <sz val="10"/>
        <rFont val="Noto Sans CJK SC"/>
        <family val="2"/>
      </rPr>
      <t>개월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뿐이라 겨울</t>
    </r>
    <r>
      <rPr>
        <sz val="10"/>
        <rFont val="Arial"/>
        <family val="2"/>
      </rPr>
      <t>·</t>
    </r>
    <r>
      <rPr>
        <sz val="10"/>
        <rFont val="Noto Sans CJK SC"/>
        <family val="2"/>
      </rPr>
      <t>여름 성수기 행태는 확인 불가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</si>
  <si>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>(4) 100</t>
    </r>
    <r>
      <rPr>
        <sz val="10"/>
        <rFont val="Noto Sans CJK SC"/>
        <family val="2"/>
      </rPr>
      <t xml:space="preserve">명은 표본이므로 비중은 </t>
    </r>
    <r>
      <rPr>
        <sz val="10"/>
        <rFont val="Arial"/>
        <family val="2"/>
      </rPr>
      <t xml:space="preserve">±10%p </t>
    </r>
    <r>
      <rPr>
        <sz val="10"/>
        <rFont val="Noto Sans CJK SC"/>
        <family val="2"/>
      </rPr>
      <t>내외 변동 가능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확정 수치는 </t>
    </r>
    <r>
      <rPr>
        <sz val="10"/>
        <rFont val="Arial"/>
        <family val="2"/>
      </rPr>
      <t>3,200</t>
    </r>
    <r>
      <rPr>
        <sz val="10"/>
        <rFont val="Noto Sans CJK SC"/>
        <family val="2"/>
      </rPr>
      <t>건 전체로 재계산 필요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</si>
  <si>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>(5) "</t>
    </r>
    <r>
      <rPr>
        <sz val="10"/>
        <rFont val="Noto Sans CJK SC"/>
        <family val="2"/>
      </rPr>
      <t>선호하는 숙소 유형</t>
    </r>
    <r>
      <rPr>
        <sz val="10"/>
        <rFont val="Arial"/>
        <family val="2"/>
      </rPr>
      <t>"</t>
    </r>
    <r>
      <rPr>
        <sz val="10"/>
        <rFont val="Noto Sans CJK SC"/>
        <family val="2"/>
      </rPr>
      <t xml:space="preserve">은 선호 조사 결과가 아니라 실제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회 이용 기록의 최빈값입니다</t>
    </r>
    <r>
      <rPr>
        <sz val="10"/>
        <rFont val="Arial"/>
        <family val="2"/>
      </rPr>
      <t>.</t>
    </r>
  </si>
  <si>
    <r>
      <rPr>
        <sz val="10"/>
        <rFont val="Arial"/>
        <family val="2"/>
      </rPr>
      <t xml:space="preserve">(6) </t>
    </r>
    <r>
      <rPr>
        <sz val="10"/>
        <rFont val="Noto Sans CJK SC"/>
        <family val="2"/>
      </rPr>
      <t>컬럼 간 상관은 실제 레코드에서 왔으나 인과관계로 해석하면 안 됩니다</t>
    </r>
    <r>
      <rPr>
        <sz val="10"/>
        <rFont val="Arial"/>
        <family val="2"/>
      </rPr>
      <t>.</t>
    </r>
  </si>
  <si>
    <r>
      <rPr>
        <b/>
        <sz val="11"/>
        <color rgb="FF1F3864"/>
        <rFont val="Arial"/>
        <family val="2"/>
      </rPr>
      <t xml:space="preserve">6. </t>
    </r>
    <r>
      <rPr>
        <b/>
        <sz val="11"/>
        <color rgb="FF1F3864"/>
        <rFont val="Noto Sans CJK SC"/>
        <family val="2"/>
      </rPr>
      <t>반대 해석 관점</t>
    </r>
  </si>
  <si>
    <r>
      <rPr>
        <sz val="10"/>
        <rFont val="Noto Sans CJK SC"/>
        <family val="2"/>
      </rPr>
      <t xml:space="preserve">방문지유형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 xml:space="preserve">위가 </t>
    </r>
    <r>
      <rPr>
        <sz val="10"/>
        <rFont val="Arial"/>
        <family val="2"/>
      </rPr>
      <t>"</t>
    </r>
    <r>
      <rPr>
        <sz val="10"/>
        <rFont val="Noto Sans CJK SC"/>
        <family val="2"/>
      </rPr>
      <t>식당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카페</t>
    </r>
    <r>
      <rPr>
        <sz val="10"/>
        <rFont val="Arial"/>
        <family val="2"/>
      </rPr>
      <t>"(53</t>
    </r>
    <r>
      <rPr>
        <sz val="10"/>
        <rFont val="Noto Sans CJK SC"/>
        <family val="2"/>
      </rPr>
      <t>명</t>
    </r>
    <r>
      <rPr>
        <sz val="10"/>
        <rFont val="Arial"/>
        <family val="2"/>
      </rPr>
      <t>)</t>
    </r>
    <r>
      <rPr>
        <sz val="10"/>
        <rFont val="Noto Sans CJK SC"/>
        <family val="2"/>
      </rPr>
      <t xml:space="preserve">라는 결과는 </t>
    </r>
    <r>
      <rPr>
        <sz val="10"/>
        <rFont val="Arial"/>
        <family val="2"/>
      </rPr>
      <t>"</t>
    </r>
    <r>
      <rPr>
        <sz val="10"/>
        <rFont val="Noto Sans CJK SC"/>
        <family val="2"/>
      </rPr>
      <t>미식 중심 여행</t>
    </r>
    <r>
      <rPr>
        <sz val="10"/>
        <rFont val="Arial"/>
        <family val="2"/>
      </rPr>
      <t>"</t>
    </r>
    <r>
      <rPr>
        <sz val="10"/>
        <rFont val="Noto Sans CJK SC"/>
        <family val="2"/>
      </rPr>
      <t>으로 읽을 수도 있지만</t>
    </r>
    <r>
      <rPr>
        <sz val="10"/>
        <rFont val="Arial"/>
        <family val="2"/>
      </rPr>
      <t>,</t>
    </r>
  </si>
  <si>
    <r>
      <rPr>
        <sz val="10"/>
        <rFont val="Noto Sans CJK SC"/>
        <family val="2"/>
      </rPr>
      <t xml:space="preserve">반대로 모든 여행에 식사가 포함되므로 방문 </t>
    </r>
    <r>
      <rPr>
        <sz val="10"/>
        <rFont val="Arial"/>
        <family val="2"/>
      </rPr>
      <t>"</t>
    </r>
    <r>
      <rPr>
        <sz val="10"/>
        <rFont val="Noto Sans CJK SC"/>
        <family val="2"/>
      </rPr>
      <t>빈도</t>
    </r>
    <r>
      <rPr>
        <sz val="10"/>
        <rFont val="Arial"/>
        <family val="2"/>
      </rPr>
      <t>"</t>
    </r>
    <r>
      <rPr>
        <sz val="10"/>
        <rFont val="Noto Sans CJK SC"/>
        <family val="2"/>
      </rPr>
      <t xml:space="preserve">가 높을 뿐 여행의 </t>
    </r>
    <r>
      <rPr>
        <sz val="10"/>
        <rFont val="Arial"/>
        <family val="2"/>
      </rPr>
      <t>"</t>
    </r>
    <r>
      <rPr>
        <sz val="10"/>
        <rFont val="Noto Sans CJK SC"/>
        <family val="2"/>
      </rPr>
      <t>목적</t>
    </r>
    <r>
      <rPr>
        <sz val="10"/>
        <rFont val="Arial"/>
        <family val="2"/>
      </rPr>
      <t>"</t>
    </r>
    <r>
      <rPr>
        <sz val="10"/>
        <rFont val="Noto Sans CJK SC"/>
        <family val="2"/>
      </rPr>
      <t>은 아닐 수 있습니다</t>
    </r>
    <r>
      <rPr>
        <sz val="10"/>
        <rFont val="Arial"/>
        <family val="2"/>
      </rPr>
      <t>.</t>
    </r>
  </si>
  <si>
    <r>
      <rPr>
        <sz val="10"/>
        <rFont val="Noto Sans CJK SC"/>
        <family val="2"/>
      </rPr>
      <t>목적 파악에는 최빈값 대신 체류시간</t>
    </r>
    <r>
      <rPr>
        <sz val="10"/>
        <rFont val="Arial"/>
        <family val="2"/>
      </rPr>
      <t>(RESIDENCE_TIME_MIN)</t>
    </r>
    <r>
      <rPr>
        <sz val="10"/>
        <rFont val="Noto Sans CJK SC"/>
        <family val="2"/>
      </rPr>
      <t>이나 소비액 기준 집계가 더 적절합니다</t>
    </r>
    <r>
      <rPr>
        <sz val="10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</si>
</sst>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&quot;원&quot;"/>
    <numFmt numFmtId="177" formatCode="0.0%"/>
    <numFmt numFmtId="178" formatCode="0.0&quot;일&quot;"/>
    <numFmt numFmtId="179" formatCode="0.0&quot;곳&quot;"/>
  </numFmts>
  <fonts count="15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name val="Noto Sans CJK SC"/>
      <family val="2"/>
    </font>
    <font>
      <b/>
      <sz val="12"/>
      <color rgb="FF1F3864"/>
      <name val="Noto Sans CJK SC"/>
      <family val="2"/>
    </font>
    <font>
      <b/>
      <sz val="12"/>
      <color rgb="FF1F3864"/>
      <name val="Arial"/>
      <family val="2"/>
    </font>
    <font>
      <i/>
      <sz val="10"/>
      <color rgb="FF808080"/>
      <name val="Noto Sans CJK SC"/>
      <family val="2"/>
    </font>
    <font>
      <i/>
      <sz val="10"/>
      <color rgb="FF808080"/>
      <name val="Arial"/>
      <family val="2"/>
    </font>
    <font>
      <b/>
      <sz val="11"/>
      <name val="Noto Sans CJK SC"/>
      <family val="2"/>
    </font>
    <font>
      <b/>
      <sz val="11"/>
      <name val="Arial"/>
      <family val="2"/>
    </font>
    <font>
      <b/>
      <sz val="11"/>
      <color rgb="FF1F3864"/>
      <name val="Arial"/>
      <family val="2"/>
    </font>
    <font>
      <b/>
      <sz val="11"/>
      <color rgb="FF1F3864"/>
      <name val="Noto Sans CJK SC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76" fontId="4" fillId="0" borderId="1" xfId="0" applyNumberFormat="1" applyFont="1" applyBorder="1" applyAlignment="1">
      <alignment vertical="center"/>
    </xf>
    <xf numFmtId="0" fontId="6" fillId="0" borderId="0" xfId="0" applyFont="1"/>
    <xf numFmtId="0" fontId="8" fillId="0" borderId="0" xfId="0" applyFont="1"/>
    <xf numFmtId="0" fontId="10" fillId="0" borderId="0" xfId="0" applyFont="1"/>
    <xf numFmtId="0" fontId="2" fillId="2" borderId="0" xfId="0" applyFont="1" applyFill="1" applyAlignment="1">
      <alignment horizontal="center"/>
    </xf>
    <xf numFmtId="0" fontId="4" fillId="0" borderId="1" xfId="0" applyFont="1" applyBorder="1"/>
    <xf numFmtId="177" fontId="4" fillId="0" borderId="1" xfId="0" applyNumberFormat="1" applyFont="1" applyBorder="1"/>
    <xf numFmtId="0" fontId="5" fillId="0" borderId="1" xfId="0" applyFont="1" applyBorder="1"/>
    <xf numFmtId="176" fontId="4" fillId="0" borderId="1" xfId="0" applyNumberFormat="1" applyFont="1" applyBorder="1"/>
    <xf numFmtId="178" fontId="4" fillId="0" borderId="1" xfId="0" applyNumberFormat="1" applyFont="1" applyBorder="1"/>
    <xf numFmtId="179" fontId="4" fillId="0" borderId="1" xfId="0" applyNumberFormat="1" applyFont="1" applyBorder="1"/>
    <xf numFmtId="2" fontId="4" fillId="0" borderId="1" xfId="0" applyNumberFormat="1" applyFont="1" applyBorder="1"/>
    <xf numFmtId="0" fontId="4" fillId="0" borderId="0" xfId="0" applyFont="1"/>
    <xf numFmtId="0" fontId="12" fillId="0" borderId="0" xfId="0" applyFont="1"/>
    <xf numFmtId="0" fontId="5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:XFD8"/>
    </sheetView>
  </sheetViews>
  <sheetFormatPr defaultColWidth="8.6640625" defaultRowHeight="14.4"/>
  <cols>
    <col min="1" max="1" width="10" customWidth="1"/>
    <col min="2" max="2" width="6" customWidth="1"/>
    <col min="3" max="3" width="7" customWidth="1"/>
    <col min="4" max="4" width="13" customWidth="1"/>
    <col min="5" max="5" width="17" customWidth="1"/>
    <col min="6" max="6" width="23" customWidth="1"/>
    <col min="7" max="7" width="18" customWidth="1"/>
    <col min="8" max="8" width="10" customWidth="1"/>
    <col min="9" max="9" width="11" customWidth="1"/>
    <col min="10" max="10" width="20" customWidth="1"/>
    <col min="11" max="11" width="11" customWidth="1"/>
    <col min="12" max="12" width="17" customWidth="1"/>
    <col min="13" max="13" width="36" customWidth="1"/>
    <col min="14" max="14" width="18" customWidth="1"/>
    <col min="15" max="15" width="21" customWidth="1"/>
    <col min="16" max="16" width="50" customWidth="1"/>
    <col min="17" max="17" width="9" customWidth="1"/>
    <col min="18" max="18" width="14" customWidth="1"/>
    <col min="19" max="19" width="10" customWidth="1"/>
    <col min="20" max="20" width="14" customWidth="1"/>
    <col min="21" max="21" width="16" customWidth="1"/>
    <col min="22" max="22" width="18" customWidth="1"/>
  </cols>
  <sheetData>
    <row r="1" spans="1:22" ht="31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</row>
    <row r="2" spans="1:22">
      <c r="A2" s="3" t="s">
        <v>22</v>
      </c>
      <c r="B2" s="4" t="s">
        <v>23</v>
      </c>
      <c r="C2" s="3" t="s">
        <v>24</v>
      </c>
      <c r="D2" s="4" t="s">
        <v>25</v>
      </c>
      <c r="E2" s="4" t="s">
        <v>26</v>
      </c>
      <c r="F2" s="4" t="s">
        <v>27</v>
      </c>
      <c r="G2" s="3" t="s">
        <v>28</v>
      </c>
      <c r="H2" s="4" t="s">
        <v>29</v>
      </c>
      <c r="I2" s="3" t="s">
        <v>30</v>
      </c>
      <c r="J2" s="4" t="s">
        <v>31</v>
      </c>
      <c r="K2" s="4" t="s">
        <v>32</v>
      </c>
      <c r="L2" s="4" t="s">
        <v>33</v>
      </c>
      <c r="M2" s="4" t="s">
        <v>34</v>
      </c>
      <c r="N2" s="5">
        <v>232900</v>
      </c>
      <c r="O2" s="4" t="s">
        <v>35</v>
      </c>
      <c r="P2" s="4" t="s">
        <v>36</v>
      </c>
      <c r="Q2" s="3">
        <v>2</v>
      </c>
      <c r="R2" s="3">
        <v>3</v>
      </c>
      <c r="S2" s="3">
        <v>3</v>
      </c>
      <c r="T2" s="3">
        <v>4</v>
      </c>
      <c r="U2" s="4" t="s">
        <v>37</v>
      </c>
      <c r="V2" s="3" t="s">
        <v>38</v>
      </c>
    </row>
    <row r="3" spans="1:22">
      <c r="A3" s="3" t="s">
        <v>39</v>
      </c>
      <c r="B3" s="4" t="s">
        <v>23</v>
      </c>
      <c r="C3" s="3" t="s">
        <v>40</v>
      </c>
      <c r="D3" s="4" t="s">
        <v>41</v>
      </c>
      <c r="E3" s="4" t="s">
        <v>26</v>
      </c>
      <c r="F3" s="4" t="s">
        <v>42</v>
      </c>
      <c r="G3" s="3" t="s">
        <v>43</v>
      </c>
      <c r="H3" s="4" t="s">
        <v>29</v>
      </c>
      <c r="I3" s="3" t="s">
        <v>44</v>
      </c>
      <c r="J3" s="4" t="s">
        <v>45</v>
      </c>
      <c r="K3" s="4" t="s">
        <v>32</v>
      </c>
      <c r="L3" s="4" t="s">
        <v>33</v>
      </c>
      <c r="M3" s="4" t="s">
        <v>34</v>
      </c>
      <c r="N3" s="5">
        <v>34900</v>
      </c>
      <c r="O3" s="4" t="s">
        <v>46</v>
      </c>
      <c r="P3" s="4" t="s">
        <v>47</v>
      </c>
      <c r="Q3" s="3">
        <v>2</v>
      </c>
      <c r="R3" s="3">
        <v>4.5999999999999996</v>
      </c>
      <c r="S3" s="3">
        <v>7</v>
      </c>
      <c r="T3" s="3">
        <v>4.5999999999999996</v>
      </c>
      <c r="U3" s="4" t="s">
        <v>41</v>
      </c>
      <c r="V3" s="3" t="s">
        <v>48</v>
      </c>
    </row>
    <row r="4" spans="1:22">
      <c r="A4" s="3" t="s">
        <v>49</v>
      </c>
      <c r="B4" s="4" t="s">
        <v>23</v>
      </c>
      <c r="C4" s="3" t="s">
        <v>24</v>
      </c>
      <c r="D4" s="4" t="s">
        <v>37</v>
      </c>
      <c r="E4" s="4" t="s">
        <v>26</v>
      </c>
      <c r="F4" s="4" t="s">
        <v>27</v>
      </c>
      <c r="G4" s="3" t="s">
        <v>50</v>
      </c>
      <c r="H4" s="4" t="s">
        <v>29</v>
      </c>
      <c r="I4" s="3" t="s">
        <v>51</v>
      </c>
      <c r="J4" s="4" t="s">
        <v>52</v>
      </c>
      <c r="K4" s="4" t="s">
        <v>32</v>
      </c>
      <c r="L4" s="4" t="s">
        <v>33</v>
      </c>
      <c r="M4" s="4" t="s">
        <v>53</v>
      </c>
      <c r="N4" s="5">
        <v>206800</v>
      </c>
      <c r="O4" s="4" t="s">
        <v>35</v>
      </c>
      <c r="P4" s="4" t="s">
        <v>54</v>
      </c>
      <c r="Q4" s="3">
        <v>2</v>
      </c>
      <c r="R4" s="3">
        <v>3.6</v>
      </c>
      <c r="S4" s="3">
        <v>5</v>
      </c>
      <c r="T4" s="3">
        <v>3.6</v>
      </c>
      <c r="U4" s="4" t="s">
        <v>37</v>
      </c>
      <c r="V4" s="3" t="s">
        <v>55</v>
      </c>
    </row>
    <row r="5" spans="1:22">
      <c r="A5" s="3" t="s">
        <v>56</v>
      </c>
      <c r="B5" s="4" t="s">
        <v>23</v>
      </c>
      <c r="C5" s="3" t="s">
        <v>40</v>
      </c>
      <c r="D5" s="4" t="s">
        <v>37</v>
      </c>
      <c r="E5" s="4" t="s">
        <v>26</v>
      </c>
      <c r="F5" s="4" t="s">
        <v>57</v>
      </c>
      <c r="G5" s="3" t="s">
        <v>58</v>
      </c>
      <c r="H5" s="4" t="s">
        <v>29</v>
      </c>
      <c r="I5" s="3" t="s">
        <v>59</v>
      </c>
      <c r="J5" s="4" t="s">
        <v>31</v>
      </c>
      <c r="K5" s="4" t="s">
        <v>32</v>
      </c>
      <c r="L5" s="4" t="s">
        <v>60</v>
      </c>
      <c r="M5" s="4" t="s">
        <v>34</v>
      </c>
      <c r="N5" s="5">
        <v>249700</v>
      </c>
      <c r="O5" s="4" t="s">
        <v>61</v>
      </c>
      <c r="P5" s="4" t="s">
        <v>62</v>
      </c>
      <c r="Q5" s="3">
        <v>2</v>
      </c>
      <c r="R5" s="3">
        <v>3</v>
      </c>
      <c r="S5" s="3">
        <v>1</v>
      </c>
      <c r="T5" s="3">
        <v>2</v>
      </c>
      <c r="U5" s="4" t="s">
        <v>37</v>
      </c>
      <c r="V5" s="3" t="s">
        <v>63</v>
      </c>
    </row>
    <row r="6" spans="1:22">
      <c r="A6" s="3" t="s">
        <v>64</v>
      </c>
      <c r="B6" s="4" t="s">
        <v>23</v>
      </c>
      <c r="C6" s="3" t="s">
        <v>40</v>
      </c>
      <c r="D6" s="4" t="s">
        <v>41</v>
      </c>
      <c r="E6" s="4" t="s">
        <v>26</v>
      </c>
      <c r="F6" s="4" t="s">
        <v>57</v>
      </c>
      <c r="G6" s="3" t="s">
        <v>43</v>
      </c>
      <c r="H6" s="4" t="s">
        <v>29</v>
      </c>
      <c r="I6" s="3" t="s">
        <v>59</v>
      </c>
      <c r="J6" s="4" t="s">
        <v>52</v>
      </c>
      <c r="K6" s="4" t="s">
        <v>32</v>
      </c>
      <c r="L6" s="4" t="s">
        <v>33</v>
      </c>
      <c r="M6" s="4" t="s">
        <v>65</v>
      </c>
      <c r="N6" s="5">
        <v>113700</v>
      </c>
      <c r="O6" s="4" t="s">
        <v>35</v>
      </c>
      <c r="P6" s="3" t="s">
        <v>66</v>
      </c>
      <c r="Q6" s="3">
        <v>2</v>
      </c>
      <c r="R6" s="3">
        <v>3.6</v>
      </c>
      <c r="S6" s="3">
        <v>5</v>
      </c>
      <c r="T6" s="3">
        <v>3.6</v>
      </c>
      <c r="U6" s="4" t="s">
        <v>26</v>
      </c>
      <c r="V6" s="3" t="s">
        <v>67</v>
      </c>
    </row>
    <row r="7" spans="1:22">
      <c r="A7" s="3" t="s">
        <v>68</v>
      </c>
      <c r="B7" s="4" t="s">
        <v>69</v>
      </c>
      <c r="C7" s="3" t="s">
        <v>70</v>
      </c>
      <c r="D7" s="4" t="s">
        <v>71</v>
      </c>
      <c r="E7" s="4" t="s">
        <v>72</v>
      </c>
      <c r="F7" s="4" t="s">
        <v>73</v>
      </c>
      <c r="G7" s="3" t="s">
        <v>74</v>
      </c>
      <c r="H7" s="4" t="s">
        <v>75</v>
      </c>
      <c r="I7" s="3" t="s">
        <v>30</v>
      </c>
      <c r="J7" s="4" t="s">
        <v>76</v>
      </c>
      <c r="K7" s="4" t="s">
        <v>32</v>
      </c>
      <c r="L7" s="4" t="s">
        <v>77</v>
      </c>
      <c r="M7" s="4" t="s">
        <v>65</v>
      </c>
      <c r="N7" s="5">
        <v>410300</v>
      </c>
      <c r="O7" s="4" t="s">
        <v>35</v>
      </c>
      <c r="P7" s="4" t="s">
        <v>78</v>
      </c>
      <c r="Q7" s="3">
        <v>3</v>
      </c>
      <c r="R7" s="3">
        <v>4</v>
      </c>
      <c r="S7" s="3">
        <v>8</v>
      </c>
      <c r="T7" s="3">
        <v>4</v>
      </c>
      <c r="U7" s="4" t="s">
        <v>71</v>
      </c>
      <c r="V7" s="3" t="s">
        <v>79</v>
      </c>
    </row>
    <row r="8" spans="1:22">
      <c r="A8" s="3" t="s">
        <v>80</v>
      </c>
      <c r="B8" s="4" t="s">
        <v>69</v>
      </c>
      <c r="C8" s="3" t="s">
        <v>24</v>
      </c>
      <c r="D8" s="4" t="s">
        <v>37</v>
      </c>
      <c r="E8" s="4" t="s">
        <v>81</v>
      </c>
      <c r="F8" s="4" t="s">
        <v>57</v>
      </c>
      <c r="G8" s="3" t="s">
        <v>43</v>
      </c>
      <c r="H8" s="4" t="s">
        <v>75</v>
      </c>
      <c r="I8" s="3" t="s">
        <v>51</v>
      </c>
      <c r="J8" s="4" t="s">
        <v>52</v>
      </c>
      <c r="K8" s="4" t="s">
        <v>32</v>
      </c>
      <c r="L8" s="4" t="s">
        <v>33</v>
      </c>
      <c r="M8" s="4" t="s">
        <v>34</v>
      </c>
      <c r="N8" s="5">
        <v>278086</v>
      </c>
      <c r="O8" s="4" t="s">
        <v>35</v>
      </c>
      <c r="P8" s="4" t="s">
        <v>82</v>
      </c>
      <c r="Q8" s="3">
        <v>3</v>
      </c>
      <c r="R8" s="3">
        <v>4.9000000000000004</v>
      </c>
      <c r="S8" s="3">
        <v>8</v>
      </c>
      <c r="T8" s="3">
        <v>5</v>
      </c>
      <c r="U8" s="4" t="s">
        <v>37</v>
      </c>
      <c r="V8" s="3" t="s">
        <v>83</v>
      </c>
    </row>
    <row r="9" spans="1:22">
      <c r="A9" s="3" t="s">
        <v>84</v>
      </c>
      <c r="B9" s="4" t="s">
        <v>23</v>
      </c>
      <c r="C9" s="3" t="s">
        <v>24</v>
      </c>
      <c r="D9" s="4" t="s">
        <v>85</v>
      </c>
      <c r="E9" s="4" t="s">
        <v>86</v>
      </c>
      <c r="F9" s="4" t="s">
        <v>73</v>
      </c>
      <c r="G9" s="3" t="s">
        <v>87</v>
      </c>
      <c r="H9" s="4" t="s">
        <v>29</v>
      </c>
      <c r="I9" s="3" t="s">
        <v>51</v>
      </c>
      <c r="J9" s="4" t="s">
        <v>76</v>
      </c>
      <c r="K9" s="4" t="s">
        <v>32</v>
      </c>
      <c r="L9" s="4" t="s">
        <v>88</v>
      </c>
      <c r="M9" s="4" t="s">
        <v>65</v>
      </c>
      <c r="N9" s="5">
        <v>377181</v>
      </c>
      <c r="O9" s="4" t="s">
        <v>35</v>
      </c>
      <c r="P9" s="3" t="s">
        <v>89</v>
      </c>
      <c r="Q9" s="3">
        <v>3</v>
      </c>
      <c r="R9" s="3">
        <v>4.5</v>
      </c>
      <c r="S9" s="3">
        <v>3</v>
      </c>
      <c r="T9" s="3">
        <v>4.2</v>
      </c>
      <c r="U9" s="4" t="s">
        <v>37</v>
      </c>
      <c r="V9" s="3" t="s">
        <v>90</v>
      </c>
    </row>
    <row r="10" spans="1:22">
      <c r="A10" s="3" t="s">
        <v>91</v>
      </c>
      <c r="B10" s="4" t="s">
        <v>69</v>
      </c>
      <c r="C10" s="3" t="s">
        <v>40</v>
      </c>
      <c r="D10" s="4" t="s">
        <v>92</v>
      </c>
      <c r="E10" s="4" t="s">
        <v>93</v>
      </c>
      <c r="F10" s="4" t="s">
        <v>27</v>
      </c>
      <c r="G10" s="3" t="s">
        <v>58</v>
      </c>
      <c r="H10" s="4" t="s">
        <v>29</v>
      </c>
      <c r="I10" s="3" t="s">
        <v>59</v>
      </c>
      <c r="J10" s="4" t="s">
        <v>31</v>
      </c>
      <c r="K10" s="4" t="s">
        <v>32</v>
      </c>
      <c r="L10" s="4" t="s">
        <v>33</v>
      </c>
      <c r="M10" s="4" t="s">
        <v>65</v>
      </c>
      <c r="N10" s="5">
        <v>270000</v>
      </c>
      <c r="O10" s="4" t="s">
        <v>35</v>
      </c>
      <c r="P10" s="4" t="s">
        <v>54</v>
      </c>
      <c r="Q10" s="3">
        <v>3</v>
      </c>
      <c r="R10" s="3">
        <v>3.5</v>
      </c>
      <c r="S10" s="3">
        <v>5</v>
      </c>
      <c r="T10" s="3">
        <v>3.8</v>
      </c>
      <c r="U10" s="4" t="s">
        <v>92</v>
      </c>
      <c r="V10" s="3" t="s">
        <v>94</v>
      </c>
    </row>
    <row r="11" spans="1:22">
      <c r="A11" s="3" t="s">
        <v>95</v>
      </c>
      <c r="B11" s="4" t="s">
        <v>69</v>
      </c>
      <c r="C11" s="3" t="s">
        <v>40</v>
      </c>
      <c r="D11" s="4" t="s">
        <v>85</v>
      </c>
      <c r="E11" s="4" t="s">
        <v>96</v>
      </c>
      <c r="F11" s="4" t="s">
        <v>73</v>
      </c>
      <c r="G11" s="3" t="s">
        <v>87</v>
      </c>
      <c r="H11" s="4" t="s">
        <v>29</v>
      </c>
      <c r="I11" s="3" t="s">
        <v>59</v>
      </c>
      <c r="J11" s="4" t="s">
        <v>26</v>
      </c>
      <c r="K11" s="4" t="s">
        <v>32</v>
      </c>
      <c r="L11" s="4" t="s">
        <v>88</v>
      </c>
      <c r="M11" s="4" t="s">
        <v>34</v>
      </c>
      <c r="N11" s="5">
        <v>110500</v>
      </c>
      <c r="O11" s="4" t="s">
        <v>61</v>
      </c>
      <c r="P11" s="4" t="s">
        <v>97</v>
      </c>
      <c r="Q11" s="3">
        <v>3</v>
      </c>
      <c r="R11" s="3">
        <v>3.8</v>
      </c>
      <c r="S11" s="3">
        <v>5</v>
      </c>
      <c r="T11" s="3">
        <v>3.9</v>
      </c>
      <c r="U11" s="4" t="s">
        <v>26</v>
      </c>
      <c r="V11" s="3" t="s">
        <v>98</v>
      </c>
    </row>
    <row r="12" spans="1:22">
      <c r="A12" s="3" t="s">
        <v>99</v>
      </c>
      <c r="B12" s="4" t="s">
        <v>69</v>
      </c>
      <c r="C12" s="3" t="s">
        <v>24</v>
      </c>
      <c r="D12" s="4" t="s">
        <v>37</v>
      </c>
      <c r="E12" s="4" t="s">
        <v>86</v>
      </c>
      <c r="F12" s="4" t="s">
        <v>100</v>
      </c>
      <c r="G12" s="3" t="s">
        <v>101</v>
      </c>
      <c r="H12" s="4" t="s">
        <v>75</v>
      </c>
      <c r="I12" s="3" t="s">
        <v>51</v>
      </c>
      <c r="J12" s="4" t="s">
        <v>52</v>
      </c>
      <c r="K12" s="4" t="s">
        <v>32</v>
      </c>
      <c r="L12" s="4" t="s">
        <v>33</v>
      </c>
      <c r="M12" s="4" t="s">
        <v>34</v>
      </c>
      <c r="N12" s="5">
        <v>402300</v>
      </c>
      <c r="O12" s="4" t="s">
        <v>35</v>
      </c>
      <c r="P12" s="4" t="s">
        <v>102</v>
      </c>
      <c r="Q12" s="3">
        <v>3</v>
      </c>
      <c r="R12" s="3">
        <v>4.3</v>
      </c>
      <c r="S12" s="3">
        <v>4</v>
      </c>
      <c r="T12" s="3">
        <v>4.3</v>
      </c>
      <c r="U12" s="4" t="s">
        <v>37</v>
      </c>
      <c r="V12" s="3" t="s">
        <v>103</v>
      </c>
    </row>
    <row r="13" spans="1:22">
      <c r="A13" s="3" t="s">
        <v>104</v>
      </c>
      <c r="B13" s="4" t="s">
        <v>69</v>
      </c>
      <c r="C13" s="3" t="s">
        <v>105</v>
      </c>
      <c r="D13" s="4" t="s">
        <v>41</v>
      </c>
      <c r="E13" s="4" t="s">
        <v>93</v>
      </c>
      <c r="F13" s="4" t="s">
        <v>27</v>
      </c>
      <c r="G13" s="3" t="s">
        <v>58</v>
      </c>
      <c r="H13" s="4" t="s">
        <v>75</v>
      </c>
      <c r="I13" s="3" t="s">
        <v>51</v>
      </c>
      <c r="J13" s="4" t="s">
        <v>31</v>
      </c>
      <c r="K13" s="4" t="s">
        <v>32</v>
      </c>
      <c r="L13" s="4" t="s">
        <v>106</v>
      </c>
      <c r="M13" s="4" t="s">
        <v>34</v>
      </c>
      <c r="N13" s="5">
        <v>323250</v>
      </c>
      <c r="O13" s="4" t="s">
        <v>35</v>
      </c>
      <c r="P13" s="4" t="s">
        <v>107</v>
      </c>
      <c r="Q13" s="3">
        <v>3</v>
      </c>
      <c r="R13" s="3">
        <v>4</v>
      </c>
      <c r="S13" s="3">
        <v>2</v>
      </c>
      <c r="T13" s="3">
        <v>4</v>
      </c>
      <c r="U13" s="4" t="s">
        <v>41</v>
      </c>
      <c r="V13" s="3" t="s">
        <v>108</v>
      </c>
    </row>
    <row r="14" spans="1:22">
      <c r="A14" s="3" t="s">
        <v>109</v>
      </c>
      <c r="B14" s="4" t="s">
        <v>23</v>
      </c>
      <c r="C14" s="3" t="s">
        <v>24</v>
      </c>
      <c r="D14" s="4" t="s">
        <v>85</v>
      </c>
      <c r="E14" s="4" t="s">
        <v>110</v>
      </c>
      <c r="F14" s="4" t="s">
        <v>57</v>
      </c>
      <c r="G14" s="3" t="s">
        <v>87</v>
      </c>
      <c r="H14" s="4" t="s">
        <v>29</v>
      </c>
      <c r="I14" s="3" t="s">
        <v>51</v>
      </c>
      <c r="J14" s="4" t="s">
        <v>52</v>
      </c>
      <c r="K14" s="4" t="s">
        <v>32</v>
      </c>
      <c r="L14" s="4" t="s">
        <v>33</v>
      </c>
      <c r="M14" s="4" t="s">
        <v>65</v>
      </c>
      <c r="N14" s="5">
        <v>590500</v>
      </c>
      <c r="O14" s="4" t="s">
        <v>35</v>
      </c>
      <c r="P14" s="3" t="s">
        <v>111</v>
      </c>
      <c r="Q14" s="3">
        <v>3</v>
      </c>
      <c r="R14" s="3">
        <v>3.6</v>
      </c>
      <c r="S14" s="3">
        <v>6</v>
      </c>
      <c r="T14" s="3">
        <v>4.0999999999999996</v>
      </c>
      <c r="U14" s="4" t="s">
        <v>26</v>
      </c>
      <c r="V14" s="3" t="s">
        <v>112</v>
      </c>
    </row>
    <row r="15" spans="1:22">
      <c r="A15" s="3" t="s">
        <v>113</v>
      </c>
      <c r="B15" s="4" t="s">
        <v>69</v>
      </c>
      <c r="C15" s="3" t="s">
        <v>105</v>
      </c>
      <c r="D15" s="4" t="s">
        <v>41</v>
      </c>
      <c r="E15" s="4" t="s">
        <v>26</v>
      </c>
      <c r="F15" s="4" t="s">
        <v>42</v>
      </c>
      <c r="G15" s="3" t="s">
        <v>28</v>
      </c>
      <c r="H15" s="4" t="s">
        <v>29</v>
      </c>
      <c r="I15" s="3" t="s">
        <v>59</v>
      </c>
      <c r="J15" s="4" t="s">
        <v>81</v>
      </c>
      <c r="K15" s="4" t="s">
        <v>32</v>
      </c>
      <c r="L15" s="4" t="s">
        <v>114</v>
      </c>
      <c r="M15" s="4" t="s">
        <v>34</v>
      </c>
      <c r="N15" s="5">
        <v>16000</v>
      </c>
      <c r="O15" s="4" t="s">
        <v>46</v>
      </c>
      <c r="P15" s="4" t="s">
        <v>115</v>
      </c>
      <c r="Q15" s="3">
        <v>2</v>
      </c>
      <c r="R15" s="3">
        <v>4.2</v>
      </c>
      <c r="S15" s="3">
        <v>5</v>
      </c>
      <c r="T15" s="3">
        <v>4.2</v>
      </c>
      <c r="U15" s="4" t="s">
        <v>26</v>
      </c>
      <c r="V15" s="3" t="s">
        <v>116</v>
      </c>
    </row>
    <row r="16" spans="1:22">
      <c r="A16" s="3" t="s">
        <v>117</v>
      </c>
      <c r="B16" s="4" t="s">
        <v>23</v>
      </c>
      <c r="C16" s="3" t="s">
        <v>105</v>
      </c>
      <c r="D16" s="4" t="s">
        <v>118</v>
      </c>
      <c r="E16" s="4" t="s">
        <v>119</v>
      </c>
      <c r="F16" s="4" t="s">
        <v>73</v>
      </c>
      <c r="G16" s="3" t="s">
        <v>58</v>
      </c>
      <c r="H16" s="4" t="s">
        <v>29</v>
      </c>
      <c r="I16" s="3" t="s">
        <v>44</v>
      </c>
      <c r="J16" s="4" t="s">
        <v>120</v>
      </c>
      <c r="K16" s="4" t="s">
        <v>32</v>
      </c>
      <c r="L16" s="4" t="s">
        <v>33</v>
      </c>
      <c r="M16" s="4" t="s">
        <v>65</v>
      </c>
      <c r="N16" s="5">
        <v>256900</v>
      </c>
      <c r="O16" s="4" t="s">
        <v>121</v>
      </c>
      <c r="P16" s="3" t="s">
        <v>122</v>
      </c>
      <c r="Q16" s="3">
        <v>4</v>
      </c>
      <c r="R16" s="3">
        <v>2.8</v>
      </c>
      <c r="S16" s="3">
        <v>6</v>
      </c>
      <c r="T16" s="3">
        <v>2.9</v>
      </c>
      <c r="U16" s="4" t="s">
        <v>41</v>
      </c>
      <c r="V16" s="3" t="s">
        <v>123</v>
      </c>
    </row>
    <row r="17" spans="1:22">
      <c r="A17" s="3" t="s">
        <v>124</v>
      </c>
      <c r="B17" s="4" t="s">
        <v>69</v>
      </c>
      <c r="C17" s="3" t="s">
        <v>40</v>
      </c>
      <c r="D17" s="4" t="s">
        <v>125</v>
      </c>
      <c r="E17" s="4" t="s">
        <v>26</v>
      </c>
      <c r="F17" s="4" t="s">
        <v>126</v>
      </c>
      <c r="G17" s="3" t="s">
        <v>101</v>
      </c>
      <c r="H17" s="4" t="s">
        <v>29</v>
      </c>
      <c r="I17" s="3" t="s">
        <v>30</v>
      </c>
      <c r="J17" s="4" t="s">
        <v>81</v>
      </c>
      <c r="K17" s="4" t="s">
        <v>32</v>
      </c>
      <c r="L17" s="4" t="s">
        <v>33</v>
      </c>
      <c r="M17" s="4" t="s">
        <v>65</v>
      </c>
      <c r="N17" s="5">
        <v>130494</v>
      </c>
      <c r="O17" s="4" t="s">
        <v>46</v>
      </c>
      <c r="P17" s="4" t="s">
        <v>127</v>
      </c>
      <c r="Q17" s="3">
        <v>3</v>
      </c>
      <c r="R17" s="3">
        <v>3.7</v>
      </c>
      <c r="S17" s="3">
        <v>12</v>
      </c>
      <c r="T17" s="3">
        <v>3.8</v>
      </c>
      <c r="U17" s="4" t="s">
        <v>125</v>
      </c>
      <c r="V17" s="3" t="s">
        <v>128</v>
      </c>
    </row>
    <row r="18" spans="1:22">
      <c r="A18" s="3" t="s">
        <v>129</v>
      </c>
      <c r="B18" s="4" t="s">
        <v>23</v>
      </c>
      <c r="C18" s="3" t="s">
        <v>24</v>
      </c>
      <c r="D18" s="4" t="s">
        <v>41</v>
      </c>
      <c r="E18" s="4" t="s">
        <v>26</v>
      </c>
      <c r="F18" s="4" t="s">
        <v>27</v>
      </c>
      <c r="G18" s="3" t="s">
        <v>130</v>
      </c>
      <c r="H18" s="4" t="s">
        <v>29</v>
      </c>
      <c r="I18" s="3" t="s">
        <v>59</v>
      </c>
      <c r="J18" s="4" t="s">
        <v>131</v>
      </c>
      <c r="K18" s="4" t="s">
        <v>32</v>
      </c>
      <c r="L18" s="4" t="s">
        <v>114</v>
      </c>
      <c r="M18" s="4" t="s">
        <v>132</v>
      </c>
      <c r="N18" s="5">
        <v>54600</v>
      </c>
      <c r="O18" s="4" t="s">
        <v>61</v>
      </c>
      <c r="P18" s="4" t="s">
        <v>133</v>
      </c>
      <c r="Q18" s="3">
        <v>2</v>
      </c>
      <c r="R18" s="3">
        <v>5</v>
      </c>
      <c r="S18" s="3">
        <v>3</v>
      </c>
      <c r="T18" s="3">
        <v>5</v>
      </c>
      <c r="U18" s="4" t="s">
        <v>25</v>
      </c>
      <c r="V18" s="3" t="s">
        <v>134</v>
      </c>
    </row>
    <row r="19" spans="1:22">
      <c r="A19" s="3" t="s">
        <v>135</v>
      </c>
      <c r="B19" s="4" t="s">
        <v>23</v>
      </c>
      <c r="C19" s="3" t="s">
        <v>24</v>
      </c>
      <c r="D19" s="4" t="s">
        <v>41</v>
      </c>
      <c r="E19" s="4" t="s">
        <v>86</v>
      </c>
      <c r="F19" s="4" t="s">
        <v>136</v>
      </c>
      <c r="G19" s="3" t="s">
        <v>58</v>
      </c>
      <c r="H19" s="4" t="s">
        <v>75</v>
      </c>
      <c r="I19" s="3" t="s">
        <v>59</v>
      </c>
      <c r="J19" s="4" t="s">
        <v>52</v>
      </c>
      <c r="K19" s="4" t="s">
        <v>32</v>
      </c>
      <c r="L19" s="4" t="s">
        <v>33</v>
      </c>
      <c r="M19" s="4" t="s">
        <v>34</v>
      </c>
      <c r="N19" s="5">
        <v>334100</v>
      </c>
      <c r="O19" s="4" t="s">
        <v>35</v>
      </c>
      <c r="P19" s="4" t="s">
        <v>137</v>
      </c>
      <c r="Q19" s="3">
        <v>3</v>
      </c>
      <c r="R19" s="3">
        <v>3.9</v>
      </c>
      <c r="S19" s="3">
        <v>8</v>
      </c>
      <c r="T19" s="3">
        <v>4</v>
      </c>
      <c r="U19" s="4" t="s">
        <v>41</v>
      </c>
      <c r="V19" s="3" t="s">
        <v>138</v>
      </c>
    </row>
    <row r="20" spans="1:22">
      <c r="A20" s="3" t="s">
        <v>139</v>
      </c>
      <c r="B20" s="4" t="s">
        <v>69</v>
      </c>
      <c r="C20" s="3" t="s">
        <v>40</v>
      </c>
      <c r="D20" s="4" t="s">
        <v>37</v>
      </c>
      <c r="E20" s="4" t="s">
        <v>26</v>
      </c>
      <c r="F20" s="4" t="s">
        <v>27</v>
      </c>
      <c r="G20" s="3" t="s">
        <v>28</v>
      </c>
      <c r="H20" s="4" t="s">
        <v>29</v>
      </c>
      <c r="I20" s="3" t="s">
        <v>59</v>
      </c>
      <c r="J20" s="4" t="s">
        <v>31</v>
      </c>
      <c r="K20" s="4" t="s">
        <v>32</v>
      </c>
      <c r="L20" s="4" t="s">
        <v>33</v>
      </c>
      <c r="M20" s="4" t="s">
        <v>34</v>
      </c>
      <c r="N20" s="5">
        <v>164780</v>
      </c>
      <c r="O20" s="4" t="s">
        <v>35</v>
      </c>
      <c r="P20" s="4" t="s">
        <v>140</v>
      </c>
      <c r="Q20" s="3">
        <v>2</v>
      </c>
      <c r="R20" s="3">
        <v>4.3</v>
      </c>
      <c r="S20" s="3">
        <v>3</v>
      </c>
      <c r="T20" s="3">
        <v>4.3</v>
      </c>
      <c r="U20" s="4" t="s">
        <v>37</v>
      </c>
      <c r="V20" s="3" t="s">
        <v>141</v>
      </c>
    </row>
    <row r="21" spans="1:22">
      <c r="A21" s="3" t="s">
        <v>142</v>
      </c>
      <c r="B21" s="4" t="s">
        <v>69</v>
      </c>
      <c r="C21" s="3" t="s">
        <v>105</v>
      </c>
      <c r="D21" s="4" t="s">
        <v>37</v>
      </c>
      <c r="E21" s="4" t="s">
        <v>26</v>
      </c>
      <c r="F21" s="4" t="s">
        <v>27</v>
      </c>
      <c r="G21" s="3" t="s">
        <v>28</v>
      </c>
      <c r="H21" s="4" t="s">
        <v>75</v>
      </c>
      <c r="I21" s="3" t="s">
        <v>51</v>
      </c>
      <c r="J21" s="4" t="s">
        <v>76</v>
      </c>
      <c r="K21" s="4" t="s">
        <v>143</v>
      </c>
      <c r="L21" s="4" t="s">
        <v>60</v>
      </c>
      <c r="M21" s="4" t="s">
        <v>144</v>
      </c>
      <c r="N21" s="5">
        <v>103800</v>
      </c>
      <c r="O21" s="4" t="s">
        <v>35</v>
      </c>
      <c r="P21" s="4" t="s">
        <v>145</v>
      </c>
      <c r="Q21" s="3">
        <v>2</v>
      </c>
      <c r="R21" s="3">
        <v>3</v>
      </c>
      <c r="S21" s="3">
        <v>3</v>
      </c>
      <c r="T21" s="3">
        <v>2.5</v>
      </c>
      <c r="U21" s="4" t="s">
        <v>37</v>
      </c>
      <c r="V21" s="3" t="s">
        <v>146</v>
      </c>
    </row>
    <row r="22" spans="1:22">
      <c r="A22" s="3" t="s">
        <v>147</v>
      </c>
      <c r="B22" s="4" t="s">
        <v>23</v>
      </c>
      <c r="C22" s="3" t="s">
        <v>40</v>
      </c>
      <c r="D22" s="4" t="s">
        <v>148</v>
      </c>
      <c r="E22" s="4" t="s">
        <v>86</v>
      </c>
      <c r="F22" s="4" t="s">
        <v>27</v>
      </c>
      <c r="G22" s="3" t="s">
        <v>101</v>
      </c>
      <c r="H22" s="4" t="s">
        <v>29</v>
      </c>
      <c r="I22" s="3" t="s">
        <v>59</v>
      </c>
      <c r="J22" s="4" t="s">
        <v>52</v>
      </c>
      <c r="K22" s="4" t="s">
        <v>32</v>
      </c>
      <c r="L22" s="4" t="s">
        <v>33</v>
      </c>
      <c r="M22" s="4" t="s">
        <v>34</v>
      </c>
      <c r="N22" s="5">
        <v>621770</v>
      </c>
      <c r="O22" s="4" t="s">
        <v>46</v>
      </c>
      <c r="P22" s="4" t="s">
        <v>47</v>
      </c>
      <c r="Q22" s="3">
        <v>4</v>
      </c>
      <c r="R22" s="3">
        <v>4.3</v>
      </c>
      <c r="S22" s="3">
        <v>10</v>
      </c>
      <c r="T22" s="3">
        <v>4.5</v>
      </c>
      <c r="U22" s="4" t="s">
        <v>148</v>
      </c>
      <c r="V22" s="3" t="s">
        <v>149</v>
      </c>
    </row>
    <row r="23" spans="1:22">
      <c r="A23" s="3" t="s">
        <v>150</v>
      </c>
      <c r="B23" s="4" t="s">
        <v>23</v>
      </c>
      <c r="C23" s="3" t="s">
        <v>105</v>
      </c>
      <c r="D23" s="4" t="s">
        <v>41</v>
      </c>
      <c r="E23" s="4" t="s">
        <v>26</v>
      </c>
      <c r="F23" s="4" t="s">
        <v>27</v>
      </c>
      <c r="G23" s="3" t="s">
        <v>28</v>
      </c>
      <c r="H23" s="4" t="s">
        <v>75</v>
      </c>
      <c r="I23" s="3" t="s">
        <v>44</v>
      </c>
      <c r="J23" s="4" t="s">
        <v>52</v>
      </c>
      <c r="K23" s="4" t="s">
        <v>32</v>
      </c>
      <c r="L23" s="4" t="s">
        <v>33</v>
      </c>
      <c r="M23" s="4" t="s">
        <v>151</v>
      </c>
      <c r="N23" s="5">
        <v>50000</v>
      </c>
      <c r="O23" s="4" t="s">
        <v>35</v>
      </c>
      <c r="P23" s="4" t="s">
        <v>152</v>
      </c>
      <c r="Q23" s="3">
        <v>2</v>
      </c>
      <c r="R23" s="3">
        <v>3.7</v>
      </c>
      <c r="S23" s="3">
        <v>3</v>
      </c>
      <c r="T23" s="3">
        <v>3.7</v>
      </c>
      <c r="U23" s="4" t="s">
        <v>41</v>
      </c>
      <c r="V23" s="3" t="s">
        <v>153</v>
      </c>
    </row>
    <row r="24" spans="1:22">
      <c r="A24" s="3" t="s">
        <v>154</v>
      </c>
      <c r="B24" s="4" t="s">
        <v>69</v>
      </c>
      <c r="C24" s="3" t="s">
        <v>24</v>
      </c>
      <c r="D24" s="4" t="s">
        <v>41</v>
      </c>
      <c r="E24" s="4" t="s">
        <v>93</v>
      </c>
      <c r="F24" s="4" t="s">
        <v>155</v>
      </c>
      <c r="G24" s="3" t="s">
        <v>87</v>
      </c>
      <c r="H24" s="4" t="s">
        <v>75</v>
      </c>
      <c r="I24" s="3" t="s">
        <v>44</v>
      </c>
      <c r="J24" s="4" t="s">
        <v>31</v>
      </c>
      <c r="K24" s="4" t="s">
        <v>32</v>
      </c>
      <c r="L24" s="4" t="s">
        <v>33</v>
      </c>
      <c r="M24" s="4" t="s">
        <v>34</v>
      </c>
      <c r="N24" s="5">
        <v>1127000</v>
      </c>
      <c r="O24" s="4" t="s">
        <v>35</v>
      </c>
      <c r="P24" s="4" t="s">
        <v>137</v>
      </c>
      <c r="Q24" s="3">
        <v>2</v>
      </c>
      <c r="R24" s="3">
        <v>5</v>
      </c>
      <c r="S24" s="3">
        <v>1</v>
      </c>
      <c r="T24" s="3">
        <v>5</v>
      </c>
      <c r="U24" s="4" t="s">
        <v>41</v>
      </c>
      <c r="V24" s="3" t="s">
        <v>156</v>
      </c>
    </row>
    <row r="25" spans="1:22">
      <c r="A25" s="3" t="s">
        <v>157</v>
      </c>
      <c r="B25" s="4" t="s">
        <v>23</v>
      </c>
      <c r="C25" s="3" t="s">
        <v>40</v>
      </c>
      <c r="D25" s="4" t="s">
        <v>41</v>
      </c>
      <c r="E25" s="4" t="s">
        <v>86</v>
      </c>
      <c r="F25" s="4" t="s">
        <v>57</v>
      </c>
      <c r="G25" s="3" t="s">
        <v>50</v>
      </c>
      <c r="H25" s="4" t="s">
        <v>29</v>
      </c>
      <c r="I25" s="3" t="s">
        <v>44</v>
      </c>
      <c r="J25" s="4" t="s">
        <v>31</v>
      </c>
      <c r="K25" s="4" t="s">
        <v>32</v>
      </c>
      <c r="L25" s="4" t="s">
        <v>33</v>
      </c>
      <c r="M25" s="4" t="s">
        <v>34</v>
      </c>
      <c r="N25" s="5">
        <v>115500</v>
      </c>
      <c r="O25" s="4" t="s">
        <v>35</v>
      </c>
      <c r="P25" s="4" t="s">
        <v>158</v>
      </c>
      <c r="Q25" s="3">
        <v>3</v>
      </c>
      <c r="R25" s="3">
        <v>3.4</v>
      </c>
      <c r="S25" s="3">
        <v>8</v>
      </c>
      <c r="T25" s="3">
        <v>4</v>
      </c>
      <c r="U25" s="4" t="s">
        <v>41</v>
      </c>
      <c r="V25" s="3" t="s">
        <v>159</v>
      </c>
    </row>
    <row r="26" spans="1:22">
      <c r="A26" s="3" t="s">
        <v>160</v>
      </c>
      <c r="B26" s="4" t="s">
        <v>23</v>
      </c>
      <c r="C26" s="3" t="s">
        <v>24</v>
      </c>
      <c r="D26" s="4" t="s">
        <v>37</v>
      </c>
      <c r="E26" s="4" t="s">
        <v>26</v>
      </c>
      <c r="F26" s="4" t="s">
        <v>42</v>
      </c>
      <c r="G26" s="3" t="s">
        <v>58</v>
      </c>
      <c r="H26" s="4" t="s">
        <v>75</v>
      </c>
      <c r="I26" s="3" t="s">
        <v>30</v>
      </c>
      <c r="J26" s="4" t="s">
        <v>161</v>
      </c>
      <c r="K26" s="4" t="s">
        <v>26</v>
      </c>
      <c r="L26" s="4" t="s">
        <v>33</v>
      </c>
      <c r="M26" s="4" t="s">
        <v>53</v>
      </c>
      <c r="N26" s="5">
        <v>30000</v>
      </c>
      <c r="O26" s="4" t="s">
        <v>35</v>
      </c>
      <c r="P26" s="4" t="s">
        <v>162</v>
      </c>
      <c r="Q26" s="3">
        <v>2</v>
      </c>
      <c r="R26" s="3">
        <v>3.5</v>
      </c>
      <c r="S26" s="3">
        <v>2</v>
      </c>
      <c r="T26" s="3">
        <v>4</v>
      </c>
      <c r="U26" s="4" t="s">
        <v>37</v>
      </c>
      <c r="V26" s="3" t="s">
        <v>163</v>
      </c>
    </row>
    <row r="27" spans="1:22">
      <c r="A27" s="3" t="s">
        <v>164</v>
      </c>
      <c r="B27" s="4" t="s">
        <v>69</v>
      </c>
      <c r="C27" s="3" t="s">
        <v>24</v>
      </c>
      <c r="D27" s="4" t="s">
        <v>37</v>
      </c>
      <c r="E27" s="4" t="s">
        <v>93</v>
      </c>
      <c r="F27" s="4" t="s">
        <v>57</v>
      </c>
      <c r="G27" s="3" t="s">
        <v>130</v>
      </c>
      <c r="H27" s="4" t="s">
        <v>29</v>
      </c>
      <c r="I27" s="3" t="s">
        <v>30</v>
      </c>
      <c r="J27" s="4" t="s">
        <v>52</v>
      </c>
      <c r="K27" s="4" t="s">
        <v>32</v>
      </c>
      <c r="L27" s="4" t="s">
        <v>114</v>
      </c>
      <c r="M27" s="4" t="s">
        <v>34</v>
      </c>
      <c r="N27" s="5">
        <v>262000</v>
      </c>
      <c r="O27" s="4" t="s">
        <v>35</v>
      </c>
      <c r="P27" s="4" t="s">
        <v>165</v>
      </c>
      <c r="Q27" s="3">
        <v>3</v>
      </c>
      <c r="R27" s="3">
        <v>4</v>
      </c>
      <c r="S27" s="3">
        <v>7</v>
      </c>
      <c r="T27" s="3">
        <v>4</v>
      </c>
      <c r="U27" s="4" t="s">
        <v>37</v>
      </c>
      <c r="V27" s="3" t="s">
        <v>166</v>
      </c>
    </row>
    <row r="28" spans="1:22">
      <c r="A28" s="3" t="s">
        <v>167</v>
      </c>
      <c r="B28" s="4" t="s">
        <v>69</v>
      </c>
      <c r="C28" s="3" t="s">
        <v>168</v>
      </c>
      <c r="D28" s="4" t="s">
        <v>41</v>
      </c>
      <c r="E28" s="4" t="s">
        <v>169</v>
      </c>
      <c r="F28" s="4" t="s">
        <v>57</v>
      </c>
      <c r="G28" s="3" t="s">
        <v>170</v>
      </c>
      <c r="H28" s="4" t="s">
        <v>75</v>
      </c>
      <c r="I28" s="3" t="s">
        <v>44</v>
      </c>
      <c r="J28" s="4" t="s">
        <v>26</v>
      </c>
      <c r="K28" s="4" t="s">
        <v>32</v>
      </c>
      <c r="L28" s="4" t="s">
        <v>88</v>
      </c>
      <c r="M28" s="4" t="s">
        <v>34</v>
      </c>
      <c r="N28" s="5">
        <v>233800</v>
      </c>
      <c r="O28" s="4" t="s">
        <v>35</v>
      </c>
      <c r="P28" s="4" t="s">
        <v>171</v>
      </c>
      <c r="Q28" s="3">
        <v>3</v>
      </c>
      <c r="R28" s="3">
        <v>4.9000000000000004</v>
      </c>
      <c r="S28" s="3">
        <v>6</v>
      </c>
      <c r="T28" s="3">
        <v>4.7</v>
      </c>
      <c r="U28" s="4" t="s">
        <v>41</v>
      </c>
      <c r="V28" s="3" t="s">
        <v>172</v>
      </c>
    </row>
    <row r="29" spans="1:22">
      <c r="A29" s="3" t="s">
        <v>173</v>
      </c>
      <c r="B29" s="4" t="s">
        <v>23</v>
      </c>
      <c r="C29" s="3" t="s">
        <v>70</v>
      </c>
      <c r="D29" s="4" t="s">
        <v>37</v>
      </c>
      <c r="E29" s="4" t="s">
        <v>26</v>
      </c>
      <c r="F29" s="4" t="s">
        <v>42</v>
      </c>
      <c r="G29" s="3" t="s">
        <v>87</v>
      </c>
      <c r="H29" s="4" t="s">
        <v>75</v>
      </c>
      <c r="I29" s="3" t="s">
        <v>30</v>
      </c>
      <c r="J29" s="4" t="s">
        <v>161</v>
      </c>
      <c r="K29" s="4" t="s">
        <v>32</v>
      </c>
      <c r="L29" s="4" t="s">
        <v>33</v>
      </c>
      <c r="M29" s="4" t="s">
        <v>174</v>
      </c>
      <c r="N29" s="5">
        <v>96000</v>
      </c>
      <c r="O29" s="4" t="s">
        <v>35</v>
      </c>
      <c r="P29" s="4" t="s">
        <v>175</v>
      </c>
      <c r="Q29" s="3">
        <v>2</v>
      </c>
      <c r="R29" s="3">
        <v>3.5</v>
      </c>
      <c r="S29" s="3">
        <v>2</v>
      </c>
      <c r="T29" s="3">
        <v>4</v>
      </c>
      <c r="U29" s="4" t="s">
        <v>26</v>
      </c>
      <c r="V29" s="3" t="s">
        <v>176</v>
      </c>
    </row>
    <row r="30" spans="1:22">
      <c r="A30" s="3" t="s">
        <v>177</v>
      </c>
      <c r="B30" s="4" t="s">
        <v>69</v>
      </c>
      <c r="C30" s="3" t="s">
        <v>40</v>
      </c>
      <c r="D30" s="4" t="s">
        <v>71</v>
      </c>
      <c r="E30" s="4" t="s">
        <v>86</v>
      </c>
      <c r="F30" s="4" t="s">
        <v>126</v>
      </c>
      <c r="G30" s="3" t="s">
        <v>87</v>
      </c>
      <c r="H30" s="4" t="s">
        <v>29</v>
      </c>
      <c r="I30" s="3" t="s">
        <v>51</v>
      </c>
      <c r="J30" s="4" t="s">
        <v>178</v>
      </c>
      <c r="K30" s="4" t="s">
        <v>32</v>
      </c>
      <c r="L30" s="4" t="s">
        <v>33</v>
      </c>
      <c r="M30" s="4" t="s">
        <v>179</v>
      </c>
      <c r="N30" s="5">
        <v>736350</v>
      </c>
      <c r="O30" s="4" t="s">
        <v>180</v>
      </c>
      <c r="P30" s="4" t="s">
        <v>181</v>
      </c>
      <c r="Q30" s="3">
        <v>5</v>
      </c>
      <c r="R30" s="3">
        <v>4.5</v>
      </c>
      <c r="S30" s="3">
        <v>6</v>
      </c>
      <c r="T30" s="3">
        <v>4.5</v>
      </c>
      <c r="U30" s="4" t="s">
        <v>71</v>
      </c>
      <c r="V30" s="3" t="s">
        <v>182</v>
      </c>
    </row>
    <row r="31" spans="1:22">
      <c r="A31" s="3" t="s">
        <v>183</v>
      </c>
      <c r="B31" s="4" t="s">
        <v>23</v>
      </c>
      <c r="C31" s="3" t="s">
        <v>24</v>
      </c>
      <c r="D31" s="4" t="s">
        <v>41</v>
      </c>
      <c r="E31" s="4" t="s">
        <v>26</v>
      </c>
      <c r="F31" s="4" t="s">
        <v>136</v>
      </c>
      <c r="G31" s="3" t="s">
        <v>184</v>
      </c>
      <c r="H31" s="4" t="s">
        <v>29</v>
      </c>
      <c r="I31" s="3" t="s">
        <v>59</v>
      </c>
      <c r="J31" s="4" t="s">
        <v>52</v>
      </c>
      <c r="K31" s="4" t="s">
        <v>32</v>
      </c>
      <c r="L31" s="4" t="s">
        <v>60</v>
      </c>
      <c r="M31" s="4" t="s">
        <v>132</v>
      </c>
      <c r="N31" s="5">
        <v>26980</v>
      </c>
      <c r="O31" s="4" t="s">
        <v>46</v>
      </c>
      <c r="P31" s="4" t="s">
        <v>185</v>
      </c>
      <c r="Q31" s="3">
        <v>2</v>
      </c>
      <c r="R31" s="3">
        <v>4.2</v>
      </c>
      <c r="S31" s="3">
        <v>5</v>
      </c>
      <c r="T31" s="3">
        <v>4.2</v>
      </c>
      <c r="U31" s="4" t="s">
        <v>37</v>
      </c>
      <c r="V31" s="3" t="s">
        <v>186</v>
      </c>
    </row>
    <row r="32" spans="1:22">
      <c r="A32" s="3" t="s">
        <v>187</v>
      </c>
      <c r="B32" s="4" t="s">
        <v>69</v>
      </c>
      <c r="C32" s="3" t="s">
        <v>40</v>
      </c>
      <c r="D32" s="4" t="s">
        <v>25</v>
      </c>
      <c r="E32" s="4" t="s">
        <v>86</v>
      </c>
      <c r="F32" s="4" t="s">
        <v>73</v>
      </c>
      <c r="G32" s="3" t="s">
        <v>43</v>
      </c>
      <c r="H32" s="4" t="s">
        <v>29</v>
      </c>
      <c r="I32" s="3" t="s">
        <v>59</v>
      </c>
      <c r="J32" s="4" t="s">
        <v>52</v>
      </c>
      <c r="K32" s="4" t="s">
        <v>32</v>
      </c>
      <c r="L32" s="4" t="s">
        <v>33</v>
      </c>
      <c r="M32" s="4" t="s">
        <v>34</v>
      </c>
      <c r="N32" s="5">
        <v>286000</v>
      </c>
      <c r="O32" s="4" t="s">
        <v>46</v>
      </c>
      <c r="P32" s="4" t="s">
        <v>188</v>
      </c>
      <c r="Q32" s="3">
        <v>3</v>
      </c>
      <c r="R32" s="3">
        <v>4.3</v>
      </c>
      <c r="S32" s="3">
        <v>6</v>
      </c>
      <c r="T32" s="3">
        <v>4.3</v>
      </c>
      <c r="U32" s="4" t="s">
        <v>25</v>
      </c>
      <c r="V32" s="3" t="s">
        <v>189</v>
      </c>
    </row>
    <row r="33" spans="1:22">
      <c r="A33" s="3" t="s">
        <v>190</v>
      </c>
      <c r="B33" s="4" t="s">
        <v>23</v>
      </c>
      <c r="C33" s="3" t="s">
        <v>40</v>
      </c>
      <c r="D33" s="4" t="s">
        <v>37</v>
      </c>
      <c r="E33" s="4" t="s">
        <v>26</v>
      </c>
      <c r="F33" s="4" t="s">
        <v>57</v>
      </c>
      <c r="G33" s="3" t="s">
        <v>58</v>
      </c>
      <c r="H33" s="4" t="s">
        <v>29</v>
      </c>
      <c r="I33" s="3" t="s">
        <v>59</v>
      </c>
      <c r="J33" s="4" t="s">
        <v>52</v>
      </c>
      <c r="K33" s="4" t="s">
        <v>32</v>
      </c>
      <c r="L33" s="4" t="s">
        <v>33</v>
      </c>
      <c r="M33" s="4" t="s">
        <v>191</v>
      </c>
      <c r="N33" s="5">
        <v>185500</v>
      </c>
      <c r="O33" s="4" t="s">
        <v>61</v>
      </c>
      <c r="P33" s="4" t="s">
        <v>192</v>
      </c>
      <c r="Q33" s="3">
        <v>2</v>
      </c>
      <c r="R33" s="3">
        <v>4.5</v>
      </c>
      <c r="S33" s="3">
        <v>1</v>
      </c>
      <c r="T33" s="3">
        <v>5</v>
      </c>
      <c r="U33" s="4" t="s">
        <v>37</v>
      </c>
      <c r="V33" s="3" t="s">
        <v>193</v>
      </c>
    </row>
    <row r="34" spans="1:22">
      <c r="A34" s="3" t="s">
        <v>194</v>
      </c>
      <c r="B34" s="4" t="s">
        <v>23</v>
      </c>
      <c r="C34" s="3" t="s">
        <v>105</v>
      </c>
      <c r="D34" s="4" t="s">
        <v>37</v>
      </c>
      <c r="E34" s="4" t="s">
        <v>26</v>
      </c>
      <c r="F34" s="4" t="s">
        <v>126</v>
      </c>
      <c r="G34" s="3" t="s">
        <v>58</v>
      </c>
      <c r="H34" s="4" t="s">
        <v>75</v>
      </c>
      <c r="I34" s="3" t="s">
        <v>51</v>
      </c>
      <c r="J34" s="4" t="s">
        <v>31</v>
      </c>
      <c r="K34" s="4" t="s">
        <v>32</v>
      </c>
      <c r="L34" s="4" t="s">
        <v>106</v>
      </c>
      <c r="M34" s="4" t="s">
        <v>34</v>
      </c>
      <c r="N34" s="5">
        <v>99600</v>
      </c>
      <c r="O34" s="4" t="s">
        <v>180</v>
      </c>
      <c r="P34" s="4" t="s">
        <v>195</v>
      </c>
      <c r="Q34" s="3">
        <v>2</v>
      </c>
      <c r="R34" s="3">
        <v>4</v>
      </c>
      <c r="S34" s="3">
        <v>3</v>
      </c>
      <c r="T34" s="3">
        <v>4</v>
      </c>
      <c r="U34" s="4" t="s">
        <v>26</v>
      </c>
      <c r="V34" s="3" t="s">
        <v>196</v>
      </c>
    </row>
    <row r="35" spans="1:22">
      <c r="A35" s="3" t="s">
        <v>197</v>
      </c>
      <c r="B35" s="4" t="s">
        <v>69</v>
      </c>
      <c r="C35" s="3" t="s">
        <v>24</v>
      </c>
      <c r="D35" s="4" t="s">
        <v>41</v>
      </c>
      <c r="E35" s="4" t="s">
        <v>26</v>
      </c>
      <c r="F35" s="4" t="s">
        <v>136</v>
      </c>
      <c r="G35" s="3" t="s">
        <v>74</v>
      </c>
      <c r="H35" s="4" t="s">
        <v>75</v>
      </c>
      <c r="I35" s="3" t="s">
        <v>51</v>
      </c>
      <c r="J35" s="4" t="s">
        <v>31</v>
      </c>
      <c r="K35" s="4" t="s">
        <v>198</v>
      </c>
      <c r="L35" s="4" t="s">
        <v>33</v>
      </c>
      <c r="M35" s="4" t="s">
        <v>34</v>
      </c>
      <c r="N35" s="5">
        <v>51400</v>
      </c>
      <c r="O35" s="4" t="s">
        <v>61</v>
      </c>
      <c r="P35" s="3" t="s">
        <v>199</v>
      </c>
      <c r="Q35" s="3">
        <v>2</v>
      </c>
      <c r="R35" s="3">
        <v>4</v>
      </c>
      <c r="S35" s="3">
        <v>2</v>
      </c>
      <c r="T35" s="3">
        <v>4</v>
      </c>
      <c r="U35" s="4" t="s">
        <v>41</v>
      </c>
      <c r="V35" s="3" t="s">
        <v>200</v>
      </c>
    </row>
    <row r="36" spans="1:22">
      <c r="A36" s="3" t="s">
        <v>201</v>
      </c>
      <c r="B36" s="4" t="s">
        <v>23</v>
      </c>
      <c r="C36" s="3" t="s">
        <v>105</v>
      </c>
      <c r="D36" s="4" t="s">
        <v>37</v>
      </c>
      <c r="E36" s="4" t="s">
        <v>26</v>
      </c>
      <c r="F36" s="4" t="s">
        <v>42</v>
      </c>
      <c r="G36" s="3" t="s">
        <v>58</v>
      </c>
      <c r="H36" s="4" t="s">
        <v>75</v>
      </c>
      <c r="I36" s="3" t="s">
        <v>51</v>
      </c>
      <c r="J36" s="4" t="s">
        <v>161</v>
      </c>
      <c r="K36" s="4" t="s">
        <v>198</v>
      </c>
      <c r="L36" s="4" t="s">
        <v>33</v>
      </c>
      <c r="M36" s="4" t="s">
        <v>132</v>
      </c>
      <c r="N36" s="5">
        <v>123400</v>
      </c>
      <c r="O36" s="4" t="s">
        <v>61</v>
      </c>
      <c r="P36" s="4" t="s">
        <v>202</v>
      </c>
      <c r="Q36" s="3">
        <v>2</v>
      </c>
      <c r="R36" s="3">
        <v>4</v>
      </c>
      <c r="S36" s="3">
        <v>1</v>
      </c>
      <c r="T36" s="3">
        <v>4</v>
      </c>
      <c r="U36" s="4" t="s">
        <v>37</v>
      </c>
      <c r="V36" s="3" t="s">
        <v>203</v>
      </c>
    </row>
    <row r="37" spans="1:22">
      <c r="A37" s="3" t="s">
        <v>204</v>
      </c>
      <c r="B37" s="4" t="s">
        <v>69</v>
      </c>
      <c r="C37" s="3" t="s">
        <v>40</v>
      </c>
      <c r="D37" s="4" t="s">
        <v>125</v>
      </c>
      <c r="E37" s="4" t="s">
        <v>26</v>
      </c>
      <c r="F37" s="4" t="s">
        <v>126</v>
      </c>
      <c r="G37" s="3" t="s">
        <v>87</v>
      </c>
      <c r="H37" s="4" t="s">
        <v>29</v>
      </c>
      <c r="I37" s="3" t="s">
        <v>51</v>
      </c>
      <c r="J37" s="4" t="s">
        <v>205</v>
      </c>
      <c r="K37" s="4" t="s">
        <v>32</v>
      </c>
      <c r="L37" s="4" t="s">
        <v>114</v>
      </c>
      <c r="M37" s="4" t="s">
        <v>132</v>
      </c>
      <c r="N37" s="5">
        <v>160400</v>
      </c>
      <c r="O37" s="4" t="s">
        <v>46</v>
      </c>
      <c r="P37" s="4" t="s">
        <v>206</v>
      </c>
      <c r="Q37" s="3">
        <v>4</v>
      </c>
      <c r="R37" s="3">
        <v>4.3</v>
      </c>
      <c r="S37" s="3">
        <v>17</v>
      </c>
      <c r="T37" s="3">
        <v>4.4000000000000004</v>
      </c>
      <c r="U37" s="4" t="s">
        <v>125</v>
      </c>
      <c r="V37" s="3" t="s">
        <v>207</v>
      </c>
    </row>
    <row r="38" spans="1:22">
      <c r="A38" s="3" t="s">
        <v>208</v>
      </c>
      <c r="B38" s="4" t="s">
        <v>23</v>
      </c>
      <c r="C38" s="3" t="s">
        <v>24</v>
      </c>
      <c r="D38" s="4" t="s">
        <v>209</v>
      </c>
      <c r="E38" s="4" t="s">
        <v>93</v>
      </c>
      <c r="F38" s="4" t="s">
        <v>73</v>
      </c>
      <c r="G38" s="3" t="s">
        <v>87</v>
      </c>
      <c r="H38" s="4" t="s">
        <v>29</v>
      </c>
      <c r="I38" s="3" t="s">
        <v>59</v>
      </c>
      <c r="J38" s="4" t="s">
        <v>52</v>
      </c>
      <c r="K38" s="4" t="s">
        <v>32</v>
      </c>
      <c r="L38" s="4" t="s">
        <v>88</v>
      </c>
      <c r="M38" s="4" t="s">
        <v>34</v>
      </c>
      <c r="N38" s="5">
        <v>309610</v>
      </c>
      <c r="O38" s="4" t="s">
        <v>35</v>
      </c>
      <c r="P38" s="4" t="s">
        <v>210</v>
      </c>
      <c r="Q38" s="3">
        <v>3</v>
      </c>
      <c r="R38" s="3">
        <v>3.4</v>
      </c>
      <c r="S38" s="3">
        <v>3</v>
      </c>
      <c r="T38" s="3">
        <v>3.4</v>
      </c>
      <c r="U38" s="4" t="s">
        <v>37</v>
      </c>
      <c r="V38" s="3" t="s">
        <v>211</v>
      </c>
    </row>
    <row r="39" spans="1:22">
      <c r="A39" s="3" t="s">
        <v>212</v>
      </c>
      <c r="B39" s="4" t="s">
        <v>23</v>
      </c>
      <c r="C39" s="3" t="s">
        <v>24</v>
      </c>
      <c r="D39" s="4" t="s">
        <v>25</v>
      </c>
      <c r="E39" s="4" t="s">
        <v>96</v>
      </c>
      <c r="F39" s="4" t="s">
        <v>57</v>
      </c>
      <c r="G39" s="3" t="s">
        <v>28</v>
      </c>
      <c r="H39" s="4" t="s">
        <v>75</v>
      </c>
      <c r="I39" s="3" t="s">
        <v>44</v>
      </c>
      <c r="J39" s="4" t="s">
        <v>52</v>
      </c>
      <c r="K39" s="4" t="s">
        <v>32</v>
      </c>
      <c r="L39" s="4" t="s">
        <v>33</v>
      </c>
      <c r="M39" s="4" t="s">
        <v>34</v>
      </c>
      <c r="N39" s="5">
        <v>163438</v>
      </c>
      <c r="O39" s="4" t="s">
        <v>46</v>
      </c>
      <c r="P39" s="4" t="s">
        <v>213</v>
      </c>
      <c r="Q39" s="3">
        <v>3</v>
      </c>
      <c r="R39" s="3">
        <v>4.0999999999999996</v>
      </c>
      <c r="S39" s="3">
        <v>15</v>
      </c>
      <c r="T39" s="3">
        <v>4.2</v>
      </c>
      <c r="U39" s="4" t="s">
        <v>25</v>
      </c>
      <c r="V39" s="3" t="s">
        <v>214</v>
      </c>
    </row>
    <row r="40" spans="1:22">
      <c r="A40" s="3" t="s">
        <v>215</v>
      </c>
      <c r="B40" s="4" t="s">
        <v>69</v>
      </c>
      <c r="C40" s="3" t="s">
        <v>105</v>
      </c>
      <c r="D40" s="4" t="s">
        <v>37</v>
      </c>
      <c r="E40" s="4" t="s">
        <v>216</v>
      </c>
      <c r="F40" s="4" t="s">
        <v>100</v>
      </c>
      <c r="G40" s="3" t="s">
        <v>28</v>
      </c>
      <c r="H40" s="4" t="s">
        <v>75</v>
      </c>
      <c r="I40" s="3" t="s">
        <v>30</v>
      </c>
      <c r="J40" s="4" t="s">
        <v>26</v>
      </c>
      <c r="K40" s="4" t="s">
        <v>32</v>
      </c>
      <c r="L40" s="4" t="s">
        <v>77</v>
      </c>
      <c r="M40" s="4" t="s">
        <v>34</v>
      </c>
      <c r="N40" s="5">
        <v>272000</v>
      </c>
      <c r="O40" s="4" t="s">
        <v>35</v>
      </c>
      <c r="P40" s="4" t="s">
        <v>217</v>
      </c>
      <c r="Q40" s="3">
        <v>3</v>
      </c>
      <c r="R40" s="3">
        <v>4</v>
      </c>
      <c r="S40" s="3">
        <v>1</v>
      </c>
      <c r="T40" s="3">
        <v>4</v>
      </c>
      <c r="U40" s="4" t="s">
        <v>37</v>
      </c>
      <c r="V40" s="3" t="s">
        <v>218</v>
      </c>
    </row>
    <row r="41" spans="1:22">
      <c r="A41" s="3" t="s">
        <v>219</v>
      </c>
      <c r="B41" s="4" t="s">
        <v>69</v>
      </c>
      <c r="C41" s="3" t="s">
        <v>24</v>
      </c>
      <c r="D41" s="4" t="s">
        <v>41</v>
      </c>
      <c r="E41" s="4" t="s">
        <v>86</v>
      </c>
      <c r="F41" s="4" t="s">
        <v>73</v>
      </c>
      <c r="G41" s="3" t="s">
        <v>58</v>
      </c>
      <c r="H41" s="4" t="s">
        <v>29</v>
      </c>
      <c r="I41" s="3" t="s">
        <v>59</v>
      </c>
      <c r="J41" s="4" t="s">
        <v>31</v>
      </c>
      <c r="K41" s="4" t="s">
        <v>32</v>
      </c>
      <c r="L41" s="4" t="s">
        <v>33</v>
      </c>
      <c r="M41" s="4" t="s">
        <v>65</v>
      </c>
      <c r="N41" s="5">
        <v>10300</v>
      </c>
      <c r="O41" s="4" t="s">
        <v>61</v>
      </c>
      <c r="P41" s="4" t="s">
        <v>220</v>
      </c>
      <c r="Q41" s="3">
        <v>2</v>
      </c>
      <c r="R41" s="3">
        <v>3</v>
      </c>
      <c r="S41" s="3">
        <v>5</v>
      </c>
      <c r="T41" s="3">
        <v>2.6</v>
      </c>
      <c r="U41" s="4" t="s">
        <v>25</v>
      </c>
      <c r="V41" s="3" t="s">
        <v>221</v>
      </c>
    </row>
    <row r="42" spans="1:22">
      <c r="A42" s="3" t="s">
        <v>222</v>
      </c>
      <c r="B42" s="4" t="s">
        <v>23</v>
      </c>
      <c r="C42" s="3" t="s">
        <v>40</v>
      </c>
      <c r="D42" s="4" t="s">
        <v>37</v>
      </c>
      <c r="E42" s="4" t="s">
        <v>96</v>
      </c>
      <c r="F42" s="4" t="s">
        <v>27</v>
      </c>
      <c r="G42" s="3" t="s">
        <v>28</v>
      </c>
      <c r="H42" s="4" t="s">
        <v>29</v>
      </c>
      <c r="I42" s="3" t="s">
        <v>44</v>
      </c>
      <c r="J42" s="4" t="s">
        <v>81</v>
      </c>
      <c r="K42" s="4" t="s">
        <v>32</v>
      </c>
      <c r="L42" s="4" t="s">
        <v>106</v>
      </c>
      <c r="M42" s="4" t="s">
        <v>174</v>
      </c>
      <c r="N42" s="5">
        <v>145600</v>
      </c>
      <c r="O42" s="4" t="s">
        <v>46</v>
      </c>
      <c r="P42" s="4" t="s">
        <v>188</v>
      </c>
      <c r="Q42" s="3">
        <v>3</v>
      </c>
      <c r="R42" s="3">
        <v>3.6</v>
      </c>
      <c r="S42" s="3">
        <v>6</v>
      </c>
      <c r="T42" s="3">
        <v>4</v>
      </c>
      <c r="U42" s="4" t="s">
        <v>37</v>
      </c>
      <c r="V42" s="3" t="s">
        <v>223</v>
      </c>
    </row>
    <row r="43" spans="1:22">
      <c r="A43" s="3" t="s">
        <v>224</v>
      </c>
      <c r="B43" s="4" t="s">
        <v>69</v>
      </c>
      <c r="C43" s="3" t="s">
        <v>105</v>
      </c>
      <c r="D43" s="4" t="s">
        <v>37</v>
      </c>
      <c r="E43" s="4" t="s">
        <v>225</v>
      </c>
      <c r="F43" s="4" t="s">
        <v>226</v>
      </c>
      <c r="G43" s="3" t="s">
        <v>87</v>
      </c>
      <c r="H43" s="4" t="s">
        <v>75</v>
      </c>
      <c r="I43" s="3" t="s">
        <v>51</v>
      </c>
      <c r="J43" s="4" t="s">
        <v>31</v>
      </c>
      <c r="K43" s="4" t="s">
        <v>32</v>
      </c>
      <c r="L43" s="4" t="s">
        <v>33</v>
      </c>
      <c r="M43" s="4" t="s">
        <v>34</v>
      </c>
      <c r="N43" s="5">
        <v>52430</v>
      </c>
      <c r="O43" s="4" t="s">
        <v>35</v>
      </c>
      <c r="P43" s="4" t="s">
        <v>36</v>
      </c>
      <c r="Q43" s="3">
        <v>2</v>
      </c>
      <c r="R43" s="3">
        <v>4</v>
      </c>
      <c r="S43" s="3">
        <v>1</v>
      </c>
      <c r="T43" s="3">
        <v>4</v>
      </c>
      <c r="U43" s="4" t="s">
        <v>37</v>
      </c>
      <c r="V43" s="3" t="s">
        <v>227</v>
      </c>
    </row>
    <row r="44" spans="1:22">
      <c r="A44" s="3" t="s">
        <v>228</v>
      </c>
      <c r="B44" s="4" t="s">
        <v>69</v>
      </c>
      <c r="C44" s="3" t="s">
        <v>40</v>
      </c>
      <c r="D44" s="4" t="s">
        <v>229</v>
      </c>
      <c r="E44" s="4" t="s">
        <v>26</v>
      </c>
      <c r="F44" s="4" t="s">
        <v>57</v>
      </c>
      <c r="G44" s="3" t="s">
        <v>58</v>
      </c>
      <c r="H44" s="4" t="s">
        <v>29</v>
      </c>
      <c r="I44" s="3" t="s">
        <v>59</v>
      </c>
      <c r="J44" s="4" t="s">
        <v>76</v>
      </c>
      <c r="K44" s="4" t="s">
        <v>32</v>
      </c>
      <c r="L44" s="4" t="s">
        <v>114</v>
      </c>
      <c r="M44" s="4" t="s">
        <v>230</v>
      </c>
      <c r="N44" s="5">
        <v>309300</v>
      </c>
      <c r="O44" s="4" t="s">
        <v>35</v>
      </c>
      <c r="P44" s="4" t="s">
        <v>231</v>
      </c>
      <c r="Q44" s="3">
        <v>4</v>
      </c>
      <c r="R44" s="3">
        <v>4.0999999999999996</v>
      </c>
      <c r="S44" s="3">
        <v>7</v>
      </c>
      <c r="T44" s="3">
        <v>4</v>
      </c>
      <c r="U44" s="4" t="s">
        <v>41</v>
      </c>
      <c r="V44" s="3" t="s">
        <v>232</v>
      </c>
    </row>
    <row r="45" spans="1:22">
      <c r="A45" s="3" t="s">
        <v>233</v>
      </c>
      <c r="B45" s="4" t="s">
        <v>23</v>
      </c>
      <c r="C45" s="3" t="s">
        <v>70</v>
      </c>
      <c r="D45" s="4" t="s">
        <v>37</v>
      </c>
      <c r="E45" s="4" t="s">
        <v>26</v>
      </c>
      <c r="F45" s="4" t="s">
        <v>42</v>
      </c>
      <c r="G45" s="3" t="s">
        <v>101</v>
      </c>
      <c r="H45" s="4" t="s">
        <v>75</v>
      </c>
      <c r="I45" s="3" t="s">
        <v>44</v>
      </c>
      <c r="J45" s="4" t="s">
        <v>161</v>
      </c>
      <c r="K45" s="4" t="s">
        <v>26</v>
      </c>
      <c r="L45" s="4" t="s">
        <v>114</v>
      </c>
      <c r="M45" s="4" t="s">
        <v>34</v>
      </c>
      <c r="N45" s="5">
        <v>2900</v>
      </c>
      <c r="O45" s="4" t="s">
        <v>180</v>
      </c>
      <c r="P45" s="4" t="s">
        <v>36</v>
      </c>
      <c r="Q45" s="3">
        <v>2</v>
      </c>
      <c r="R45" s="3">
        <v>4</v>
      </c>
      <c r="S45" s="3">
        <v>2</v>
      </c>
      <c r="T45" s="3">
        <v>4</v>
      </c>
      <c r="U45" s="4" t="s">
        <v>37</v>
      </c>
      <c r="V45" s="3" t="s">
        <v>234</v>
      </c>
    </row>
    <row r="46" spans="1:22">
      <c r="A46" s="3" t="s">
        <v>235</v>
      </c>
      <c r="B46" s="4" t="s">
        <v>69</v>
      </c>
      <c r="C46" s="3" t="s">
        <v>24</v>
      </c>
      <c r="D46" s="4" t="s">
        <v>37</v>
      </c>
      <c r="E46" s="4" t="s">
        <v>26</v>
      </c>
      <c r="F46" s="4" t="s">
        <v>27</v>
      </c>
      <c r="G46" s="3" t="s">
        <v>87</v>
      </c>
      <c r="H46" s="4" t="s">
        <v>29</v>
      </c>
      <c r="I46" s="3" t="s">
        <v>30</v>
      </c>
      <c r="J46" s="4" t="s">
        <v>31</v>
      </c>
      <c r="K46" s="4" t="s">
        <v>32</v>
      </c>
      <c r="L46" s="4" t="s">
        <v>114</v>
      </c>
      <c r="M46" s="4" t="s">
        <v>34</v>
      </c>
      <c r="N46" s="5">
        <v>59600</v>
      </c>
      <c r="O46" s="4" t="s">
        <v>180</v>
      </c>
      <c r="P46" s="4" t="s">
        <v>236</v>
      </c>
      <c r="Q46" s="3">
        <v>2</v>
      </c>
      <c r="R46" s="3">
        <v>2.6</v>
      </c>
      <c r="S46" s="3">
        <v>5</v>
      </c>
      <c r="T46" s="3">
        <v>3</v>
      </c>
      <c r="U46" s="4" t="s">
        <v>26</v>
      </c>
      <c r="V46" s="3" t="s">
        <v>237</v>
      </c>
    </row>
    <row r="47" spans="1:22">
      <c r="A47" s="3" t="s">
        <v>238</v>
      </c>
      <c r="B47" s="4" t="s">
        <v>69</v>
      </c>
      <c r="C47" s="3" t="s">
        <v>24</v>
      </c>
      <c r="D47" s="4" t="s">
        <v>118</v>
      </c>
      <c r="E47" s="4" t="s">
        <v>86</v>
      </c>
      <c r="F47" s="4" t="s">
        <v>57</v>
      </c>
      <c r="G47" s="3" t="s">
        <v>58</v>
      </c>
      <c r="H47" s="4" t="s">
        <v>29</v>
      </c>
      <c r="I47" s="3" t="s">
        <v>51</v>
      </c>
      <c r="J47" s="4" t="s">
        <v>239</v>
      </c>
      <c r="K47" s="4" t="s">
        <v>32</v>
      </c>
      <c r="L47" s="4" t="s">
        <v>33</v>
      </c>
      <c r="M47" s="4" t="s">
        <v>34</v>
      </c>
      <c r="N47" s="5">
        <v>111251</v>
      </c>
      <c r="O47" s="4" t="s">
        <v>240</v>
      </c>
      <c r="P47" s="4" t="s">
        <v>36</v>
      </c>
      <c r="Q47" s="3">
        <v>3</v>
      </c>
      <c r="R47" s="3">
        <v>4</v>
      </c>
      <c r="S47" s="3">
        <v>8</v>
      </c>
      <c r="T47" s="3">
        <v>3.8</v>
      </c>
      <c r="U47" s="4" t="s">
        <v>118</v>
      </c>
      <c r="V47" s="3" t="s">
        <v>241</v>
      </c>
    </row>
    <row r="48" spans="1:22">
      <c r="A48" s="3" t="s">
        <v>242</v>
      </c>
      <c r="B48" s="4" t="s">
        <v>23</v>
      </c>
      <c r="C48" s="3" t="s">
        <v>24</v>
      </c>
      <c r="D48" s="4" t="s">
        <v>37</v>
      </c>
      <c r="E48" s="4" t="s">
        <v>26</v>
      </c>
      <c r="F48" s="4" t="s">
        <v>57</v>
      </c>
      <c r="G48" s="3" t="s">
        <v>50</v>
      </c>
      <c r="H48" s="4" t="s">
        <v>29</v>
      </c>
      <c r="I48" s="3" t="s">
        <v>51</v>
      </c>
      <c r="J48" s="4" t="s">
        <v>52</v>
      </c>
      <c r="K48" s="4" t="s">
        <v>32</v>
      </c>
      <c r="L48" s="4" t="s">
        <v>33</v>
      </c>
      <c r="M48" s="4" t="s">
        <v>34</v>
      </c>
      <c r="N48" s="5">
        <v>81300</v>
      </c>
      <c r="O48" s="4" t="s">
        <v>35</v>
      </c>
      <c r="P48" s="4" t="s">
        <v>54</v>
      </c>
      <c r="Q48" s="3">
        <v>2</v>
      </c>
      <c r="R48" s="3">
        <v>4.7</v>
      </c>
      <c r="S48" s="3">
        <v>3</v>
      </c>
      <c r="T48" s="3">
        <v>4.7</v>
      </c>
      <c r="U48" s="4" t="s">
        <v>37</v>
      </c>
      <c r="V48" s="3" t="s">
        <v>243</v>
      </c>
    </row>
    <row r="49" spans="1:22">
      <c r="A49" s="3" t="s">
        <v>244</v>
      </c>
      <c r="B49" s="4" t="s">
        <v>69</v>
      </c>
      <c r="C49" s="3" t="s">
        <v>24</v>
      </c>
      <c r="D49" s="4" t="s">
        <v>41</v>
      </c>
      <c r="E49" s="4" t="s">
        <v>96</v>
      </c>
      <c r="F49" s="4" t="s">
        <v>73</v>
      </c>
      <c r="G49" s="3" t="s">
        <v>58</v>
      </c>
      <c r="H49" s="4" t="s">
        <v>29</v>
      </c>
      <c r="I49" s="3" t="s">
        <v>44</v>
      </c>
      <c r="J49" s="4" t="s">
        <v>31</v>
      </c>
      <c r="K49" s="4" t="s">
        <v>32</v>
      </c>
      <c r="L49" s="4" t="s">
        <v>33</v>
      </c>
      <c r="M49" s="4" t="s">
        <v>245</v>
      </c>
      <c r="N49" s="5">
        <v>144100</v>
      </c>
      <c r="O49" s="4" t="s">
        <v>35</v>
      </c>
      <c r="P49" s="3" t="s">
        <v>246</v>
      </c>
      <c r="Q49" s="3">
        <v>3</v>
      </c>
      <c r="R49" s="3">
        <v>2.6</v>
      </c>
      <c r="S49" s="3">
        <v>4</v>
      </c>
      <c r="T49" s="3">
        <v>3.8</v>
      </c>
      <c r="U49" s="4" t="s">
        <v>41</v>
      </c>
      <c r="V49" s="3" t="s">
        <v>247</v>
      </c>
    </row>
    <row r="50" spans="1:22">
      <c r="A50" s="3" t="s">
        <v>248</v>
      </c>
      <c r="B50" s="4" t="s">
        <v>23</v>
      </c>
      <c r="C50" s="3" t="s">
        <v>24</v>
      </c>
      <c r="D50" s="4" t="s">
        <v>92</v>
      </c>
      <c r="E50" s="4" t="s">
        <v>26</v>
      </c>
      <c r="F50" s="4" t="s">
        <v>27</v>
      </c>
      <c r="G50" s="3" t="s">
        <v>170</v>
      </c>
      <c r="H50" s="4" t="s">
        <v>75</v>
      </c>
      <c r="I50" s="3" t="s">
        <v>59</v>
      </c>
      <c r="J50" s="4" t="s">
        <v>31</v>
      </c>
      <c r="K50" s="4" t="s">
        <v>32</v>
      </c>
      <c r="L50" s="4" t="s">
        <v>106</v>
      </c>
      <c r="M50" s="4" t="s">
        <v>65</v>
      </c>
      <c r="N50" s="5">
        <v>74350</v>
      </c>
      <c r="O50" s="4" t="s">
        <v>46</v>
      </c>
      <c r="P50" s="4" t="s">
        <v>249</v>
      </c>
      <c r="Q50" s="3">
        <v>2</v>
      </c>
      <c r="R50" s="3">
        <v>5</v>
      </c>
      <c r="S50" s="3">
        <v>9</v>
      </c>
      <c r="T50" s="3">
        <v>5</v>
      </c>
      <c r="U50" s="4" t="s">
        <v>41</v>
      </c>
      <c r="V50" s="3" t="s">
        <v>250</v>
      </c>
    </row>
    <row r="51" spans="1:22">
      <c r="A51" s="3" t="s">
        <v>251</v>
      </c>
      <c r="B51" s="4" t="s">
        <v>69</v>
      </c>
      <c r="C51" s="3" t="s">
        <v>40</v>
      </c>
      <c r="D51" s="4" t="s">
        <v>37</v>
      </c>
      <c r="E51" s="4" t="s">
        <v>26</v>
      </c>
      <c r="F51" s="4" t="s">
        <v>42</v>
      </c>
      <c r="G51" s="3" t="s">
        <v>184</v>
      </c>
      <c r="H51" s="4" t="s">
        <v>29</v>
      </c>
      <c r="I51" s="3" t="s">
        <v>252</v>
      </c>
      <c r="J51" s="4" t="s">
        <v>45</v>
      </c>
      <c r="K51" s="4" t="s">
        <v>32</v>
      </c>
      <c r="L51" s="4" t="s">
        <v>33</v>
      </c>
      <c r="M51" s="4" t="s">
        <v>65</v>
      </c>
      <c r="N51" s="5">
        <v>102200</v>
      </c>
      <c r="O51" s="4" t="s">
        <v>46</v>
      </c>
      <c r="P51" s="4" t="s">
        <v>253</v>
      </c>
      <c r="Q51" s="3">
        <v>2</v>
      </c>
      <c r="R51" s="3">
        <v>4.5999999999999996</v>
      </c>
      <c r="S51" s="3">
        <v>8</v>
      </c>
      <c r="T51" s="3">
        <v>4.5999999999999996</v>
      </c>
      <c r="U51" s="4" t="s">
        <v>26</v>
      </c>
      <c r="V51" s="3" t="s">
        <v>254</v>
      </c>
    </row>
    <row r="52" spans="1:22">
      <c r="A52" s="3" t="s">
        <v>255</v>
      </c>
      <c r="B52" s="4" t="s">
        <v>69</v>
      </c>
      <c r="C52" s="3" t="s">
        <v>24</v>
      </c>
      <c r="D52" s="4" t="s">
        <v>41</v>
      </c>
      <c r="E52" s="4" t="s">
        <v>26</v>
      </c>
      <c r="F52" s="4" t="s">
        <v>136</v>
      </c>
      <c r="G52" s="3" t="s">
        <v>58</v>
      </c>
      <c r="H52" s="4" t="s">
        <v>29</v>
      </c>
      <c r="I52" s="3" t="s">
        <v>59</v>
      </c>
      <c r="J52" s="4" t="s">
        <v>52</v>
      </c>
      <c r="K52" s="4" t="s">
        <v>32</v>
      </c>
      <c r="L52" s="4" t="s">
        <v>114</v>
      </c>
      <c r="M52" s="4" t="s">
        <v>174</v>
      </c>
      <c r="N52" s="5">
        <v>59100</v>
      </c>
      <c r="O52" s="4" t="s">
        <v>46</v>
      </c>
      <c r="P52" s="3" t="s">
        <v>256</v>
      </c>
      <c r="Q52" s="3">
        <v>2</v>
      </c>
      <c r="R52" s="3">
        <v>4.5</v>
      </c>
      <c r="S52" s="3">
        <v>4</v>
      </c>
      <c r="T52" s="3">
        <v>4.5</v>
      </c>
      <c r="U52" s="4" t="s">
        <v>26</v>
      </c>
      <c r="V52" s="3" t="s">
        <v>257</v>
      </c>
    </row>
    <row r="53" spans="1:22">
      <c r="A53" s="3" t="s">
        <v>258</v>
      </c>
      <c r="B53" s="4" t="s">
        <v>69</v>
      </c>
      <c r="C53" s="3" t="s">
        <v>40</v>
      </c>
      <c r="D53" s="4" t="s">
        <v>41</v>
      </c>
      <c r="E53" s="4" t="s">
        <v>26</v>
      </c>
      <c r="F53" s="4" t="s">
        <v>73</v>
      </c>
      <c r="G53" s="3" t="s">
        <v>50</v>
      </c>
      <c r="H53" s="4" t="s">
        <v>29</v>
      </c>
      <c r="I53" s="3" t="s">
        <v>51</v>
      </c>
      <c r="J53" s="4" t="s">
        <v>45</v>
      </c>
      <c r="K53" s="4" t="s">
        <v>32</v>
      </c>
      <c r="L53" s="4" t="s">
        <v>33</v>
      </c>
      <c r="M53" s="4" t="s">
        <v>34</v>
      </c>
      <c r="N53" s="5">
        <v>183600</v>
      </c>
      <c r="O53" s="4" t="s">
        <v>35</v>
      </c>
      <c r="P53" s="4" t="s">
        <v>259</v>
      </c>
      <c r="Q53" s="3">
        <v>2</v>
      </c>
      <c r="R53" s="3">
        <v>3.8</v>
      </c>
      <c r="S53" s="3">
        <v>4</v>
      </c>
      <c r="T53" s="3">
        <v>4.2</v>
      </c>
      <c r="U53" s="4" t="s">
        <v>41</v>
      </c>
      <c r="V53" s="3" t="s">
        <v>260</v>
      </c>
    </row>
    <row r="54" spans="1:22">
      <c r="A54" s="3" t="s">
        <v>261</v>
      </c>
      <c r="B54" s="4" t="s">
        <v>69</v>
      </c>
      <c r="C54" s="3" t="s">
        <v>24</v>
      </c>
      <c r="D54" s="4" t="s">
        <v>41</v>
      </c>
      <c r="E54" s="4" t="s">
        <v>26</v>
      </c>
      <c r="F54" s="4" t="s">
        <v>73</v>
      </c>
      <c r="G54" s="3" t="s">
        <v>87</v>
      </c>
      <c r="H54" s="4" t="s">
        <v>29</v>
      </c>
      <c r="I54" s="3" t="s">
        <v>44</v>
      </c>
      <c r="J54" s="4" t="s">
        <v>52</v>
      </c>
      <c r="K54" s="4" t="s">
        <v>32</v>
      </c>
      <c r="L54" s="4" t="s">
        <v>33</v>
      </c>
      <c r="M54" s="4" t="s">
        <v>34</v>
      </c>
      <c r="N54" s="5">
        <v>105900</v>
      </c>
      <c r="O54" s="4" t="s">
        <v>46</v>
      </c>
      <c r="P54" s="3" t="s">
        <v>262</v>
      </c>
      <c r="Q54" s="3">
        <v>2</v>
      </c>
      <c r="R54" s="3">
        <v>3.8</v>
      </c>
      <c r="S54" s="3">
        <v>4</v>
      </c>
      <c r="T54" s="3">
        <v>3.8</v>
      </c>
      <c r="U54" s="4" t="s">
        <v>41</v>
      </c>
      <c r="V54" s="3" t="s">
        <v>263</v>
      </c>
    </row>
    <row r="55" spans="1:22">
      <c r="A55" s="3" t="s">
        <v>264</v>
      </c>
      <c r="B55" s="4" t="s">
        <v>69</v>
      </c>
      <c r="C55" s="3" t="s">
        <v>70</v>
      </c>
      <c r="D55" s="4" t="s">
        <v>41</v>
      </c>
      <c r="E55" s="4" t="s">
        <v>110</v>
      </c>
      <c r="F55" s="4" t="s">
        <v>136</v>
      </c>
      <c r="G55" s="3" t="s">
        <v>101</v>
      </c>
      <c r="H55" s="4" t="s">
        <v>75</v>
      </c>
      <c r="I55" s="3" t="s">
        <v>30</v>
      </c>
      <c r="J55" s="4" t="s">
        <v>52</v>
      </c>
      <c r="K55" s="4" t="s">
        <v>32</v>
      </c>
      <c r="L55" s="4" t="s">
        <v>33</v>
      </c>
      <c r="M55" s="4" t="s">
        <v>34</v>
      </c>
      <c r="N55" s="5">
        <v>156000</v>
      </c>
      <c r="O55" s="4" t="s">
        <v>35</v>
      </c>
      <c r="P55" s="4" t="s">
        <v>265</v>
      </c>
      <c r="Q55" s="3">
        <v>3</v>
      </c>
      <c r="R55" s="3">
        <v>4</v>
      </c>
      <c r="S55" s="3">
        <v>6</v>
      </c>
      <c r="T55" s="3">
        <v>4.0999999999999996</v>
      </c>
      <c r="U55" s="4" t="s">
        <v>41</v>
      </c>
      <c r="V55" s="3" t="s">
        <v>266</v>
      </c>
    </row>
    <row r="56" spans="1:22">
      <c r="A56" s="3" t="s">
        <v>267</v>
      </c>
      <c r="B56" s="4" t="s">
        <v>69</v>
      </c>
      <c r="C56" s="3" t="s">
        <v>40</v>
      </c>
      <c r="D56" s="4" t="s">
        <v>37</v>
      </c>
      <c r="E56" s="4" t="s">
        <v>119</v>
      </c>
      <c r="F56" s="4" t="s">
        <v>136</v>
      </c>
      <c r="G56" s="3" t="s">
        <v>43</v>
      </c>
      <c r="H56" s="4" t="s">
        <v>29</v>
      </c>
      <c r="I56" s="3" t="s">
        <v>59</v>
      </c>
      <c r="J56" s="4" t="s">
        <v>45</v>
      </c>
      <c r="K56" s="4" t="s">
        <v>32</v>
      </c>
      <c r="L56" s="4" t="s">
        <v>114</v>
      </c>
      <c r="M56" s="4" t="s">
        <v>34</v>
      </c>
      <c r="N56" s="5">
        <v>213240</v>
      </c>
      <c r="O56" s="4" t="s">
        <v>46</v>
      </c>
      <c r="P56" s="4" t="s">
        <v>268</v>
      </c>
      <c r="Q56" s="3">
        <v>4</v>
      </c>
      <c r="R56" s="3">
        <v>3.3</v>
      </c>
      <c r="S56" s="3">
        <v>23</v>
      </c>
      <c r="T56" s="3">
        <v>3.3</v>
      </c>
      <c r="U56" s="4" t="s">
        <v>37</v>
      </c>
      <c r="V56" s="3" t="s">
        <v>269</v>
      </c>
    </row>
    <row r="57" spans="1:22">
      <c r="A57" s="3" t="s">
        <v>270</v>
      </c>
      <c r="B57" s="4" t="s">
        <v>23</v>
      </c>
      <c r="C57" s="3" t="s">
        <v>24</v>
      </c>
      <c r="D57" s="4" t="s">
        <v>41</v>
      </c>
      <c r="E57" s="4" t="s">
        <v>26</v>
      </c>
      <c r="F57" s="4" t="s">
        <v>27</v>
      </c>
      <c r="G57" s="3" t="s">
        <v>271</v>
      </c>
      <c r="H57" s="4" t="s">
        <v>75</v>
      </c>
      <c r="I57" s="3" t="s">
        <v>51</v>
      </c>
      <c r="J57" s="4" t="s">
        <v>31</v>
      </c>
      <c r="K57" s="4" t="s">
        <v>32</v>
      </c>
      <c r="L57" s="4" t="s">
        <v>33</v>
      </c>
      <c r="M57" s="4" t="s">
        <v>191</v>
      </c>
      <c r="N57" s="5">
        <v>163800</v>
      </c>
      <c r="O57" s="4" t="s">
        <v>35</v>
      </c>
      <c r="P57" s="4" t="s">
        <v>272</v>
      </c>
      <c r="Q57" s="3">
        <v>2</v>
      </c>
      <c r="R57" s="3">
        <v>3.5</v>
      </c>
      <c r="S57" s="3">
        <v>2</v>
      </c>
      <c r="T57" s="3">
        <v>5</v>
      </c>
      <c r="U57" s="4" t="s">
        <v>41</v>
      </c>
      <c r="V57" s="3" t="s">
        <v>273</v>
      </c>
    </row>
    <row r="58" spans="1:22">
      <c r="A58" s="3" t="s">
        <v>274</v>
      </c>
      <c r="B58" s="4" t="s">
        <v>69</v>
      </c>
      <c r="C58" s="3" t="s">
        <v>40</v>
      </c>
      <c r="D58" s="4" t="s">
        <v>41</v>
      </c>
      <c r="E58" s="4" t="s">
        <v>26</v>
      </c>
      <c r="F58" s="4" t="s">
        <v>27</v>
      </c>
      <c r="G58" s="3" t="s">
        <v>28</v>
      </c>
      <c r="H58" s="4" t="s">
        <v>29</v>
      </c>
      <c r="I58" s="3" t="s">
        <v>59</v>
      </c>
      <c r="J58" s="4" t="s">
        <v>31</v>
      </c>
      <c r="K58" s="4" t="s">
        <v>32</v>
      </c>
      <c r="L58" s="4" t="s">
        <v>33</v>
      </c>
      <c r="M58" s="4" t="s">
        <v>65</v>
      </c>
      <c r="N58" s="5">
        <v>36500</v>
      </c>
      <c r="O58" s="4" t="s">
        <v>35</v>
      </c>
      <c r="P58" s="4" t="s">
        <v>78</v>
      </c>
      <c r="Q58" s="3">
        <v>2</v>
      </c>
      <c r="R58" s="3">
        <v>4</v>
      </c>
      <c r="S58" s="3">
        <v>2</v>
      </c>
      <c r="T58" s="3">
        <v>4</v>
      </c>
      <c r="U58" s="4" t="s">
        <v>41</v>
      </c>
      <c r="V58" s="3" t="s">
        <v>275</v>
      </c>
    </row>
    <row r="59" spans="1:22">
      <c r="A59" s="3" t="s">
        <v>276</v>
      </c>
      <c r="B59" s="4" t="s">
        <v>23</v>
      </c>
      <c r="C59" s="3" t="s">
        <v>24</v>
      </c>
      <c r="D59" s="4" t="s">
        <v>25</v>
      </c>
      <c r="E59" s="4" t="s">
        <v>93</v>
      </c>
      <c r="F59" s="4" t="s">
        <v>57</v>
      </c>
      <c r="G59" s="3" t="s">
        <v>170</v>
      </c>
      <c r="H59" s="4" t="s">
        <v>29</v>
      </c>
      <c r="I59" s="3" t="s">
        <v>30</v>
      </c>
      <c r="J59" s="4" t="s">
        <v>52</v>
      </c>
      <c r="K59" s="4" t="s">
        <v>198</v>
      </c>
      <c r="L59" s="4" t="s">
        <v>33</v>
      </c>
      <c r="M59" s="4" t="s">
        <v>34</v>
      </c>
      <c r="N59" s="5">
        <v>262950</v>
      </c>
      <c r="O59" s="4" t="s">
        <v>35</v>
      </c>
      <c r="P59" s="4" t="s">
        <v>277</v>
      </c>
      <c r="Q59" s="3">
        <v>3</v>
      </c>
      <c r="R59" s="3">
        <v>4.9000000000000004</v>
      </c>
      <c r="S59" s="3">
        <v>6</v>
      </c>
      <c r="T59" s="3">
        <v>5</v>
      </c>
      <c r="U59" s="4" t="s">
        <v>25</v>
      </c>
      <c r="V59" s="3" t="s">
        <v>278</v>
      </c>
    </row>
    <row r="60" spans="1:22">
      <c r="A60" s="3" t="s">
        <v>279</v>
      </c>
      <c r="B60" s="4" t="s">
        <v>69</v>
      </c>
      <c r="C60" s="3" t="s">
        <v>105</v>
      </c>
      <c r="D60" s="4" t="s">
        <v>41</v>
      </c>
      <c r="E60" s="4" t="s">
        <v>26</v>
      </c>
      <c r="F60" s="4" t="s">
        <v>226</v>
      </c>
      <c r="G60" s="3" t="s">
        <v>271</v>
      </c>
      <c r="H60" s="4" t="s">
        <v>75</v>
      </c>
      <c r="I60" s="3" t="s">
        <v>30</v>
      </c>
      <c r="J60" s="4" t="s">
        <v>76</v>
      </c>
      <c r="K60" s="4" t="s">
        <v>32</v>
      </c>
      <c r="L60" s="4" t="s">
        <v>33</v>
      </c>
      <c r="M60" s="4" t="s">
        <v>34</v>
      </c>
      <c r="N60" s="5">
        <v>141500</v>
      </c>
      <c r="O60" s="4" t="s">
        <v>46</v>
      </c>
      <c r="P60" s="4" t="s">
        <v>280</v>
      </c>
      <c r="Q60" s="3">
        <v>2</v>
      </c>
      <c r="R60" s="3">
        <v>5</v>
      </c>
      <c r="S60" s="3">
        <v>3</v>
      </c>
      <c r="T60" s="3">
        <v>5</v>
      </c>
      <c r="U60" s="4" t="s">
        <v>26</v>
      </c>
      <c r="V60" s="3" t="s">
        <v>281</v>
      </c>
    </row>
    <row r="61" spans="1:22">
      <c r="A61" s="3" t="s">
        <v>282</v>
      </c>
      <c r="B61" s="4" t="s">
        <v>23</v>
      </c>
      <c r="C61" s="3" t="s">
        <v>105</v>
      </c>
      <c r="D61" s="4" t="s">
        <v>41</v>
      </c>
      <c r="E61" s="4" t="s">
        <v>26</v>
      </c>
      <c r="F61" s="4" t="s">
        <v>73</v>
      </c>
      <c r="G61" s="3" t="s">
        <v>50</v>
      </c>
      <c r="H61" s="4" t="s">
        <v>75</v>
      </c>
      <c r="I61" s="3" t="s">
        <v>252</v>
      </c>
      <c r="J61" s="4" t="s">
        <v>161</v>
      </c>
      <c r="K61" s="4" t="s">
        <v>32</v>
      </c>
      <c r="L61" s="4" t="s">
        <v>106</v>
      </c>
      <c r="M61" s="4" t="s">
        <v>53</v>
      </c>
      <c r="N61" s="5">
        <v>7100</v>
      </c>
      <c r="O61" s="4" t="s">
        <v>61</v>
      </c>
      <c r="P61" s="4" t="s">
        <v>115</v>
      </c>
      <c r="Q61" s="3">
        <v>2</v>
      </c>
      <c r="R61" s="3">
        <v>4</v>
      </c>
      <c r="S61" s="3">
        <v>1</v>
      </c>
      <c r="T61" s="3">
        <v>4</v>
      </c>
      <c r="U61" s="4" t="s">
        <v>25</v>
      </c>
      <c r="V61" s="3" t="s">
        <v>283</v>
      </c>
    </row>
    <row r="62" spans="1:22">
      <c r="A62" s="3" t="s">
        <v>284</v>
      </c>
      <c r="B62" s="4" t="s">
        <v>23</v>
      </c>
      <c r="C62" s="3" t="s">
        <v>40</v>
      </c>
      <c r="D62" s="4" t="s">
        <v>41</v>
      </c>
      <c r="E62" s="4" t="s">
        <v>26</v>
      </c>
      <c r="F62" s="4" t="s">
        <v>57</v>
      </c>
      <c r="G62" s="3" t="s">
        <v>58</v>
      </c>
      <c r="H62" s="4" t="s">
        <v>29</v>
      </c>
      <c r="I62" s="3" t="s">
        <v>44</v>
      </c>
      <c r="J62" s="4" t="s">
        <v>31</v>
      </c>
      <c r="K62" s="4" t="s">
        <v>32</v>
      </c>
      <c r="L62" s="4" t="s">
        <v>88</v>
      </c>
      <c r="M62" s="4" t="s">
        <v>34</v>
      </c>
      <c r="N62" s="5">
        <v>36000</v>
      </c>
      <c r="O62" s="4" t="s">
        <v>35</v>
      </c>
      <c r="P62" s="3" t="s">
        <v>285</v>
      </c>
      <c r="Q62" s="3">
        <v>2</v>
      </c>
      <c r="R62" s="3">
        <v>5</v>
      </c>
      <c r="S62" s="3">
        <v>2</v>
      </c>
      <c r="T62" s="3">
        <v>5</v>
      </c>
      <c r="U62" s="4" t="s">
        <v>41</v>
      </c>
      <c r="V62" s="3" t="s">
        <v>286</v>
      </c>
    </row>
    <row r="63" spans="1:22">
      <c r="A63" s="3" t="s">
        <v>287</v>
      </c>
      <c r="B63" s="4" t="s">
        <v>23</v>
      </c>
      <c r="C63" s="3" t="s">
        <v>168</v>
      </c>
      <c r="D63" s="4" t="s">
        <v>41</v>
      </c>
      <c r="E63" s="4" t="s">
        <v>26</v>
      </c>
      <c r="F63" s="4" t="s">
        <v>73</v>
      </c>
      <c r="G63" s="3" t="s">
        <v>74</v>
      </c>
      <c r="H63" s="4" t="s">
        <v>75</v>
      </c>
      <c r="I63" s="3" t="s">
        <v>44</v>
      </c>
      <c r="J63" s="4" t="s">
        <v>76</v>
      </c>
      <c r="K63" s="4" t="s">
        <v>32</v>
      </c>
      <c r="L63" s="4" t="s">
        <v>33</v>
      </c>
      <c r="M63" s="4" t="s">
        <v>34</v>
      </c>
      <c r="N63" s="5">
        <v>50500</v>
      </c>
      <c r="O63" s="4" t="s">
        <v>35</v>
      </c>
      <c r="P63" s="3" t="s">
        <v>288</v>
      </c>
      <c r="Q63" s="3">
        <v>2</v>
      </c>
      <c r="R63" s="3">
        <v>5</v>
      </c>
      <c r="S63" s="3">
        <v>1</v>
      </c>
      <c r="T63" s="3">
        <v>5</v>
      </c>
      <c r="U63" s="4" t="s">
        <v>41</v>
      </c>
      <c r="V63" s="3" t="s">
        <v>289</v>
      </c>
    </row>
    <row r="64" spans="1:22">
      <c r="A64" s="3" t="s">
        <v>290</v>
      </c>
      <c r="B64" s="4" t="s">
        <v>23</v>
      </c>
      <c r="C64" s="3" t="s">
        <v>40</v>
      </c>
      <c r="D64" s="4" t="s">
        <v>209</v>
      </c>
      <c r="E64" s="4" t="s">
        <v>26</v>
      </c>
      <c r="F64" s="4" t="s">
        <v>57</v>
      </c>
      <c r="G64" s="3" t="s">
        <v>291</v>
      </c>
      <c r="H64" s="4" t="s">
        <v>29</v>
      </c>
      <c r="I64" s="3" t="s">
        <v>59</v>
      </c>
      <c r="J64" s="4" t="s">
        <v>81</v>
      </c>
      <c r="K64" s="4" t="s">
        <v>32</v>
      </c>
      <c r="L64" s="4" t="s">
        <v>33</v>
      </c>
      <c r="M64" s="4" t="s">
        <v>34</v>
      </c>
      <c r="N64" s="5">
        <v>318950</v>
      </c>
      <c r="O64" s="4" t="s">
        <v>61</v>
      </c>
      <c r="P64" s="3" t="s">
        <v>199</v>
      </c>
      <c r="Q64" s="3">
        <v>3</v>
      </c>
      <c r="R64" s="3">
        <v>4.2</v>
      </c>
      <c r="S64" s="3">
        <v>5</v>
      </c>
      <c r="T64" s="3">
        <v>4.2</v>
      </c>
      <c r="U64" s="4" t="s">
        <v>41</v>
      </c>
      <c r="V64" s="3" t="s">
        <v>292</v>
      </c>
    </row>
    <row r="65" spans="1:22">
      <c r="A65" s="3" t="s">
        <v>293</v>
      </c>
      <c r="B65" s="4" t="s">
        <v>23</v>
      </c>
      <c r="C65" s="3" t="s">
        <v>40</v>
      </c>
      <c r="D65" s="4" t="s">
        <v>209</v>
      </c>
      <c r="E65" s="4" t="s">
        <v>26</v>
      </c>
      <c r="F65" s="4" t="s">
        <v>126</v>
      </c>
      <c r="G65" s="3" t="s">
        <v>184</v>
      </c>
      <c r="H65" s="4" t="s">
        <v>29</v>
      </c>
      <c r="I65" s="3" t="s">
        <v>51</v>
      </c>
      <c r="J65" s="4" t="s">
        <v>45</v>
      </c>
      <c r="K65" s="4" t="s">
        <v>32</v>
      </c>
      <c r="L65" s="4" t="s">
        <v>33</v>
      </c>
      <c r="M65" s="4" t="s">
        <v>34</v>
      </c>
      <c r="N65" s="5">
        <v>121600</v>
      </c>
      <c r="O65" s="4" t="s">
        <v>46</v>
      </c>
      <c r="P65" s="4" t="s">
        <v>294</v>
      </c>
      <c r="Q65" s="3">
        <v>2</v>
      </c>
      <c r="R65" s="3">
        <v>5</v>
      </c>
      <c r="S65" s="3">
        <v>3</v>
      </c>
      <c r="T65" s="3">
        <v>5</v>
      </c>
      <c r="U65" s="4" t="s">
        <v>209</v>
      </c>
      <c r="V65" s="3" t="s">
        <v>295</v>
      </c>
    </row>
    <row r="66" spans="1:22">
      <c r="A66" s="3" t="s">
        <v>296</v>
      </c>
      <c r="B66" s="4" t="s">
        <v>23</v>
      </c>
      <c r="C66" s="3" t="s">
        <v>40</v>
      </c>
      <c r="D66" s="4" t="s">
        <v>37</v>
      </c>
      <c r="E66" s="4" t="s">
        <v>26</v>
      </c>
      <c r="F66" s="4" t="s">
        <v>57</v>
      </c>
      <c r="G66" s="3" t="s">
        <v>101</v>
      </c>
      <c r="H66" s="4" t="s">
        <v>29</v>
      </c>
      <c r="I66" s="3" t="s">
        <v>30</v>
      </c>
      <c r="J66" s="4" t="s">
        <v>31</v>
      </c>
      <c r="K66" s="4" t="s">
        <v>32</v>
      </c>
      <c r="L66" s="4" t="s">
        <v>33</v>
      </c>
      <c r="M66" s="4" t="s">
        <v>53</v>
      </c>
      <c r="N66" s="5">
        <v>105800</v>
      </c>
      <c r="O66" s="4" t="s">
        <v>35</v>
      </c>
      <c r="P66" s="4" t="s">
        <v>297</v>
      </c>
      <c r="Q66" s="3">
        <v>2</v>
      </c>
      <c r="R66" s="3">
        <v>5</v>
      </c>
      <c r="S66" s="3">
        <v>1</v>
      </c>
      <c r="T66" s="3">
        <v>5</v>
      </c>
      <c r="U66" s="4" t="s">
        <v>37</v>
      </c>
      <c r="V66" s="3" t="s">
        <v>298</v>
      </c>
    </row>
    <row r="67" spans="1:22">
      <c r="A67" s="3" t="s">
        <v>299</v>
      </c>
      <c r="B67" s="4" t="s">
        <v>23</v>
      </c>
      <c r="C67" s="3" t="s">
        <v>24</v>
      </c>
      <c r="D67" s="4" t="s">
        <v>41</v>
      </c>
      <c r="E67" s="4" t="s">
        <v>216</v>
      </c>
      <c r="F67" s="4" t="s">
        <v>226</v>
      </c>
      <c r="G67" s="3" t="s">
        <v>58</v>
      </c>
      <c r="H67" s="4" t="s">
        <v>29</v>
      </c>
      <c r="I67" s="3" t="s">
        <v>44</v>
      </c>
      <c r="J67" s="4" t="s">
        <v>52</v>
      </c>
      <c r="K67" s="4" t="s">
        <v>32</v>
      </c>
      <c r="L67" s="4" t="s">
        <v>33</v>
      </c>
      <c r="M67" s="4" t="s">
        <v>34</v>
      </c>
      <c r="N67" s="5">
        <v>270000</v>
      </c>
      <c r="O67" s="4" t="s">
        <v>35</v>
      </c>
      <c r="P67" s="4" t="s">
        <v>300</v>
      </c>
      <c r="Q67" s="3">
        <v>3</v>
      </c>
      <c r="R67" s="3">
        <v>4</v>
      </c>
      <c r="S67" s="3">
        <v>3</v>
      </c>
      <c r="T67" s="3">
        <v>3.8</v>
      </c>
      <c r="U67" s="4" t="s">
        <v>26</v>
      </c>
      <c r="V67" s="3" t="s">
        <v>301</v>
      </c>
    </row>
    <row r="68" spans="1:22">
      <c r="A68" s="3" t="s">
        <v>302</v>
      </c>
      <c r="B68" s="4" t="s">
        <v>23</v>
      </c>
      <c r="C68" s="3" t="s">
        <v>40</v>
      </c>
      <c r="D68" s="4" t="s">
        <v>25</v>
      </c>
      <c r="E68" s="4" t="s">
        <v>26</v>
      </c>
      <c r="F68" s="4" t="s">
        <v>57</v>
      </c>
      <c r="G68" s="3" t="s">
        <v>303</v>
      </c>
      <c r="H68" s="4" t="s">
        <v>29</v>
      </c>
      <c r="I68" s="3" t="s">
        <v>59</v>
      </c>
      <c r="J68" s="4" t="s">
        <v>31</v>
      </c>
      <c r="K68" s="4" t="s">
        <v>32</v>
      </c>
      <c r="L68" s="4" t="s">
        <v>33</v>
      </c>
      <c r="M68" s="4" t="s">
        <v>174</v>
      </c>
      <c r="N68" s="5">
        <v>117000</v>
      </c>
      <c r="O68" s="4" t="s">
        <v>46</v>
      </c>
      <c r="P68" s="4" t="s">
        <v>304</v>
      </c>
      <c r="Q68" s="3">
        <v>2</v>
      </c>
      <c r="R68" s="3">
        <v>3.7</v>
      </c>
      <c r="S68" s="3">
        <v>6</v>
      </c>
      <c r="T68" s="3">
        <v>4.3</v>
      </c>
      <c r="U68" s="4" t="s">
        <v>25</v>
      </c>
      <c r="V68" s="3" t="s">
        <v>305</v>
      </c>
    </row>
    <row r="69" spans="1:22">
      <c r="A69" s="3" t="s">
        <v>306</v>
      </c>
      <c r="B69" s="4" t="s">
        <v>23</v>
      </c>
      <c r="C69" s="3" t="s">
        <v>24</v>
      </c>
      <c r="D69" s="4" t="s">
        <v>307</v>
      </c>
      <c r="E69" s="4" t="s">
        <v>86</v>
      </c>
      <c r="F69" s="4" t="s">
        <v>126</v>
      </c>
      <c r="G69" s="3" t="s">
        <v>170</v>
      </c>
      <c r="H69" s="4" t="s">
        <v>75</v>
      </c>
      <c r="I69" s="3" t="s">
        <v>51</v>
      </c>
      <c r="J69" s="4" t="s">
        <v>81</v>
      </c>
      <c r="K69" s="4" t="s">
        <v>32</v>
      </c>
      <c r="L69" s="4" t="s">
        <v>33</v>
      </c>
      <c r="M69" s="4" t="s">
        <v>34</v>
      </c>
      <c r="N69" s="5">
        <v>932700</v>
      </c>
      <c r="O69" s="4" t="s">
        <v>35</v>
      </c>
      <c r="P69" s="4" t="s">
        <v>259</v>
      </c>
      <c r="Q69" s="3">
        <v>5</v>
      </c>
      <c r="R69" s="3">
        <v>3.5</v>
      </c>
      <c r="S69" s="3">
        <v>8</v>
      </c>
      <c r="T69" s="3">
        <v>3.5</v>
      </c>
      <c r="U69" s="4" t="s">
        <v>41</v>
      </c>
      <c r="V69" s="3" t="s">
        <v>308</v>
      </c>
    </row>
    <row r="70" spans="1:22">
      <c r="A70" s="3" t="s">
        <v>309</v>
      </c>
      <c r="B70" s="4" t="s">
        <v>23</v>
      </c>
      <c r="C70" s="3" t="s">
        <v>40</v>
      </c>
      <c r="D70" s="4" t="s">
        <v>41</v>
      </c>
      <c r="E70" s="4" t="s">
        <v>26</v>
      </c>
      <c r="F70" s="4" t="s">
        <v>73</v>
      </c>
      <c r="G70" s="3" t="s">
        <v>28</v>
      </c>
      <c r="H70" s="4" t="s">
        <v>29</v>
      </c>
      <c r="I70" s="3" t="s">
        <v>51</v>
      </c>
      <c r="J70" s="4" t="s">
        <v>52</v>
      </c>
      <c r="K70" s="4" t="s">
        <v>32</v>
      </c>
      <c r="L70" s="4" t="s">
        <v>106</v>
      </c>
      <c r="M70" s="4" t="s">
        <v>53</v>
      </c>
      <c r="N70" s="5">
        <v>170100</v>
      </c>
      <c r="O70" s="4" t="s">
        <v>35</v>
      </c>
      <c r="P70" s="4" t="s">
        <v>310</v>
      </c>
      <c r="Q70" s="3">
        <v>2</v>
      </c>
      <c r="R70" s="3">
        <v>4.5</v>
      </c>
      <c r="S70" s="3">
        <v>2</v>
      </c>
      <c r="T70" s="3">
        <v>5</v>
      </c>
      <c r="U70" s="4" t="s">
        <v>41</v>
      </c>
      <c r="V70" s="3" t="s">
        <v>311</v>
      </c>
    </row>
    <row r="71" spans="1:22">
      <c r="A71" s="3" t="s">
        <v>312</v>
      </c>
      <c r="B71" s="4" t="s">
        <v>23</v>
      </c>
      <c r="C71" s="3" t="s">
        <v>70</v>
      </c>
      <c r="D71" s="4" t="s">
        <v>41</v>
      </c>
      <c r="E71" s="4" t="s">
        <v>26</v>
      </c>
      <c r="F71" s="4" t="s">
        <v>42</v>
      </c>
      <c r="G71" s="3" t="s">
        <v>28</v>
      </c>
      <c r="H71" s="4" t="s">
        <v>75</v>
      </c>
      <c r="I71" s="3" t="s">
        <v>30</v>
      </c>
      <c r="J71" s="4" t="s">
        <v>161</v>
      </c>
      <c r="K71" s="4" t="s">
        <v>26</v>
      </c>
      <c r="L71" s="4" t="s">
        <v>114</v>
      </c>
      <c r="M71" s="4" t="s">
        <v>132</v>
      </c>
      <c r="N71" s="5">
        <v>50000</v>
      </c>
      <c r="O71" s="4" t="s">
        <v>35</v>
      </c>
      <c r="P71" s="3" t="s">
        <v>313</v>
      </c>
      <c r="Q71" s="3">
        <v>2</v>
      </c>
      <c r="R71" s="3">
        <v>4</v>
      </c>
      <c r="S71" s="3">
        <v>2</v>
      </c>
      <c r="T71" s="3">
        <v>4</v>
      </c>
      <c r="U71" s="4" t="s">
        <v>41</v>
      </c>
      <c r="V71" s="3" t="s">
        <v>314</v>
      </c>
    </row>
    <row r="72" spans="1:22">
      <c r="A72" s="3" t="s">
        <v>315</v>
      </c>
      <c r="B72" s="4" t="s">
        <v>23</v>
      </c>
      <c r="C72" s="3" t="s">
        <v>24</v>
      </c>
      <c r="D72" s="4" t="s">
        <v>37</v>
      </c>
      <c r="E72" s="4" t="s">
        <v>216</v>
      </c>
      <c r="F72" s="4" t="s">
        <v>136</v>
      </c>
      <c r="G72" s="3" t="s">
        <v>58</v>
      </c>
      <c r="H72" s="4" t="s">
        <v>75</v>
      </c>
      <c r="I72" s="3" t="s">
        <v>44</v>
      </c>
      <c r="J72" s="4" t="s">
        <v>31</v>
      </c>
      <c r="K72" s="4" t="s">
        <v>32</v>
      </c>
      <c r="L72" s="4" t="s">
        <v>33</v>
      </c>
      <c r="M72" s="4" t="s">
        <v>34</v>
      </c>
      <c r="N72" s="5">
        <v>215640</v>
      </c>
      <c r="O72" s="4" t="s">
        <v>35</v>
      </c>
      <c r="P72" s="3" t="s">
        <v>316</v>
      </c>
      <c r="Q72" s="3">
        <v>3</v>
      </c>
      <c r="R72" s="3">
        <v>3.8</v>
      </c>
      <c r="S72" s="3">
        <v>3</v>
      </c>
      <c r="T72" s="3">
        <v>4.4000000000000004</v>
      </c>
      <c r="U72" s="4" t="s">
        <v>26</v>
      </c>
      <c r="V72" s="3" t="s">
        <v>317</v>
      </c>
    </row>
    <row r="73" spans="1:22">
      <c r="A73" s="3" t="s">
        <v>318</v>
      </c>
      <c r="B73" s="4" t="s">
        <v>23</v>
      </c>
      <c r="C73" s="3" t="s">
        <v>40</v>
      </c>
      <c r="D73" s="4" t="s">
        <v>37</v>
      </c>
      <c r="E73" s="4" t="s">
        <v>86</v>
      </c>
      <c r="F73" s="4" t="s">
        <v>126</v>
      </c>
      <c r="G73" s="3" t="s">
        <v>130</v>
      </c>
      <c r="H73" s="4" t="s">
        <v>29</v>
      </c>
      <c r="I73" s="3" t="s">
        <v>30</v>
      </c>
      <c r="J73" s="4" t="s">
        <v>120</v>
      </c>
      <c r="K73" s="4" t="s">
        <v>32</v>
      </c>
      <c r="L73" s="4" t="s">
        <v>33</v>
      </c>
      <c r="M73" s="4" t="s">
        <v>34</v>
      </c>
      <c r="N73" s="5">
        <v>388140</v>
      </c>
      <c r="O73" s="4" t="s">
        <v>46</v>
      </c>
      <c r="P73" s="4" t="s">
        <v>319</v>
      </c>
      <c r="Q73" s="3">
        <v>3</v>
      </c>
      <c r="R73" s="3">
        <v>4</v>
      </c>
      <c r="S73" s="3">
        <v>10</v>
      </c>
      <c r="T73" s="3">
        <v>3.8</v>
      </c>
      <c r="U73" s="4" t="s">
        <v>37</v>
      </c>
      <c r="V73" s="3" t="s">
        <v>320</v>
      </c>
    </row>
    <row r="74" spans="1:22">
      <c r="A74" s="3" t="s">
        <v>321</v>
      </c>
      <c r="B74" s="4" t="s">
        <v>23</v>
      </c>
      <c r="C74" s="3" t="s">
        <v>40</v>
      </c>
      <c r="D74" s="4" t="s">
        <v>41</v>
      </c>
      <c r="E74" s="4" t="s">
        <v>26</v>
      </c>
      <c r="F74" s="4" t="s">
        <v>126</v>
      </c>
      <c r="G74" s="3" t="s">
        <v>28</v>
      </c>
      <c r="H74" s="4" t="s">
        <v>29</v>
      </c>
      <c r="I74" s="3" t="s">
        <v>252</v>
      </c>
      <c r="J74" s="4" t="s">
        <v>45</v>
      </c>
      <c r="K74" s="4" t="s">
        <v>32</v>
      </c>
      <c r="L74" s="4" t="s">
        <v>106</v>
      </c>
      <c r="M74" s="4" t="s">
        <v>174</v>
      </c>
      <c r="N74" s="5">
        <v>14300</v>
      </c>
      <c r="O74" s="4" t="s">
        <v>46</v>
      </c>
      <c r="P74" s="4" t="s">
        <v>322</v>
      </c>
      <c r="Q74" s="3">
        <v>2</v>
      </c>
      <c r="R74" s="3">
        <v>4.8</v>
      </c>
      <c r="S74" s="3">
        <v>5</v>
      </c>
      <c r="T74" s="3">
        <v>5</v>
      </c>
      <c r="U74" s="4" t="s">
        <v>37</v>
      </c>
      <c r="V74" s="3" t="s">
        <v>323</v>
      </c>
    </row>
    <row r="75" spans="1:22">
      <c r="A75" s="3" t="s">
        <v>324</v>
      </c>
      <c r="B75" s="4" t="s">
        <v>23</v>
      </c>
      <c r="C75" s="3" t="s">
        <v>40</v>
      </c>
      <c r="D75" s="4" t="s">
        <v>37</v>
      </c>
      <c r="E75" s="4" t="s">
        <v>26</v>
      </c>
      <c r="F75" s="4" t="s">
        <v>57</v>
      </c>
      <c r="G75" s="3" t="s">
        <v>58</v>
      </c>
      <c r="H75" s="4" t="s">
        <v>29</v>
      </c>
      <c r="I75" s="3" t="s">
        <v>59</v>
      </c>
      <c r="J75" s="4" t="s">
        <v>239</v>
      </c>
      <c r="K75" s="4" t="s">
        <v>32</v>
      </c>
      <c r="L75" s="4" t="s">
        <v>60</v>
      </c>
      <c r="M75" s="4" t="s">
        <v>144</v>
      </c>
      <c r="N75" s="5">
        <v>56700</v>
      </c>
      <c r="O75" s="4" t="s">
        <v>61</v>
      </c>
      <c r="P75" s="4" t="s">
        <v>62</v>
      </c>
      <c r="Q75" s="3">
        <v>2</v>
      </c>
      <c r="R75" s="3">
        <v>3.5</v>
      </c>
      <c r="S75" s="3">
        <v>2</v>
      </c>
      <c r="T75" s="3">
        <v>4</v>
      </c>
      <c r="U75" s="4" t="s">
        <v>26</v>
      </c>
      <c r="V75" s="3" t="s">
        <v>325</v>
      </c>
    </row>
    <row r="76" spans="1:22">
      <c r="A76" s="3" t="s">
        <v>326</v>
      </c>
      <c r="B76" s="4" t="s">
        <v>23</v>
      </c>
      <c r="C76" s="3" t="s">
        <v>168</v>
      </c>
      <c r="D76" s="4" t="s">
        <v>41</v>
      </c>
      <c r="E76" s="4" t="s">
        <v>26</v>
      </c>
      <c r="F76" s="4" t="s">
        <v>27</v>
      </c>
      <c r="G76" s="3" t="s">
        <v>74</v>
      </c>
      <c r="H76" s="4" t="s">
        <v>75</v>
      </c>
      <c r="I76" s="3" t="s">
        <v>51</v>
      </c>
      <c r="J76" s="4" t="s">
        <v>161</v>
      </c>
      <c r="K76" s="4" t="s">
        <v>32</v>
      </c>
      <c r="L76" s="4" t="s">
        <v>114</v>
      </c>
      <c r="M76" s="4" t="s">
        <v>245</v>
      </c>
      <c r="N76" s="5">
        <v>57100</v>
      </c>
      <c r="O76" s="4" t="s">
        <v>46</v>
      </c>
      <c r="P76" s="4" t="s">
        <v>327</v>
      </c>
      <c r="Q76" s="3">
        <v>4</v>
      </c>
      <c r="R76" s="3">
        <v>4.5999999999999996</v>
      </c>
      <c r="S76" s="3">
        <v>15</v>
      </c>
      <c r="T76" s="3">
        <v>4.5999999999999996</v>
      </c>
      <c r="U76" s="4" t="s">
        <v>41</v>
      </c>
      <c r="V76" s="3" t="s">
        <v>328</v>
      </c>
    </row>
    <row r="77" spans="1:22">
      <c r="A77" s="3" t="s">
        <v>329</v>
      </c>
      <c r="B77" s="4" t="s">
        <v>23</v>
      </c>
      <c r="C77" s="3" t="s">
        <v>40</v>
      </c>
      <c r="D77" s="4" t="s">
        <v>148</v>
      </c>
      <c r="E77" s="4" t="s">
        <v>26</v>
      </c>
      <c r="F77" s="4" t="s">
        <v>73</v>
      </c>
      <c r="G77" s="3" t="s">
        <v>58</v>
      </c>
      <c r="H77" s="4" t="s">
        <v>29</v>
      </c>
      <c r="I77" s="3" t="s">
        <v>59</v>
      </c>
      <c r="J77" s="4" t="s">
        <v>31</v>
      </c>
      <c r="K77" s="4" t="s">
        <v>32</v>
      </c>
      <c r="L77" s="4" t="s">
        <v>33</v>
      </c>
      <c r="M77" s="4" t="s">
        <v>34</v>
      </c>
      <c r="N77" s="5">
        <v>128800</v>
      </c>
      <c r="O77" s="4" t="s">
        <v>46</v>
      </c>
      <c r="P77" s="4" t="s">
        <v>330</v>
      </c>
      <c r="Q77" s="3">
        <v>2</v>
      </c>
      <c r="R77" s="3">
        <v>3.2</v>
      </c>
      <c r="S77" s="3">
        <v>4</v>
      </c>
      <c r="T77" s="3">
        <v>3.2</v>
      </c>
      <c r="U77" s="4" t="s">
        <v>148</v>
      </c>
      <c r="V77" s="3" t="s">
        <v>331</v>
      </c>
    </row>
    <row r="78" spans="1:22">
      <c r="A78" s="3" t="s">
        <v>332</v>
      </c>
      <c r="B78" s="4" t="s">
        <v>23</v>
      </c>
      <c r="C78" s="3" t="s">
        <v>24</v>
      </c>
      <c r="D78" s="4" t="s">
        <v>41</v>
      </c>
      <c r="E78" s="4" t="s">
        <v>26</v>
      </c>
      <c r="F78" s="4" t="s">
        <v>57</v>
      </c>
      <c r="G78" s="3" t="s">
        <v>87</v>
      </c>
      <c r="H78" s="4" t="s">
        <v>75</v>
      </c>
      <c r="I78" s="3" t="s">
        <v>44</v>
      </c>
      <c r="J78" s="4" t="s">
        <v>52</v>
      </c>
      <c r="K78" s="4" t="s">
        <v>32</v>
      </c>
      <c r="L78" s="4" t="s">
        <v>33</v>
      </c>
      <c r="M78" s="4" t="s">
        <v>34</v>
      </c>
      <c r="N78" s="5">
        <v>29000</v>
      </c>
      <c r="O78" s="4" t="s">
        <v>35</v>
      </c>
      <c r="P78" s="4" t="s">
        <v>333</v>
      </c>
      <c r="Q78" s="3">
        <v>2</v>
      </c>
      <c r="R78" s="3">
        <v>5</v>
      </c>
      <c r="S78" s="3">
        <v>1</v>
      </c>
      <c r="T78" s="3">
        <v>5</v>
      </c>
      <c r="U78" s="4" t="s">
        <v>41</v>
      </c>
      <c r="V78" s="3" t="s">
        <v>334</v>
      </c>
    </row>
    <row r="79" spans="1:22">
      <c r="A79" s="3" t="s">
        <v>335</v>
      </c>
      <c r="B79" s="4" t="s">
        <v>69</v>
      </c>
      <c r="C79" s="3" t="s">
        <v>105</v>
      </c>
      <c r="D79" s="4" t="s">
        <v>41</v>
      </c>
      <c r="E79" s="4" t="s">
        <v>86</v>
      </c>
      <c r="F79" s="4" t="s">
        <v>336</v>
      </c>
      <c r="G79" s="3" t="s">
        <v>87</v>
      </c>
      <c r="H79" s="4" t="s">
        <v>29</v>
      </c>
      <c r="I79" s="3" t="s">
        <v>59</v>
      </c>
      <c r="J79" s="4" t="s">
        <v>52</v>
      </c>
      <c r="K79" s="4" t="s">
        <v>32</v>
      </c>
      <c r="L79" s="4" t="s">
        <v>33</v>
      </c>
      <c r="M79" s="4" t="s">
        <v>65</v>
      </c>
      <c r="N79" s="5">
        <v>204680</v>
      </c>
      <c r="O79" s="4" t="s">
        <v>46</v>
      </c>
      <c r="P79" s="4" t="s">
        <v>337</v>
      </c>
      <c r="Q79" s="3">
        <v>3</v>
      </c>
      <c r="R79" s="3">
        <v>5</v>
      </c>
      <c r="S79" s="3">
        <v>11</v>
      </c>
      <c r="T79" s="3">
        <v>5</v>
      </c>
      <c r="U79" s="4" t="s">
        <v>26</v>
      </c>
      <c r="V79" s="3" t="s">
        <v>338</v>
      </c>
    </row>
    <row r="80" spans="1:22">
      <c r="A80" s="3" t="s">
        <v>339</v>
      </c>
      <c r="B80" s="4" t="s">
        <v>23</v>
      </c>
      <c r="C80" s="3" t="s">
        <v>70</v>
      </c>
      <c r="D80" s="4" t="s">
        <v>41</v>
      </c>
      <c r="E80" s="4" t="s">
        <v>26</v>
      </c>
      <c r="F80" s="4" t="s">
        <v>42</v>
      </c>
      <c r="G80" s="3" t="s">
        <v>87</v>
      </c>
      <c r="H80" s="4" t="s">
        <v>75</v>
      </c>
      <c r="I80" s="3" t="s">
        <v>44</v>
      </c>
      <c r="J80" s="4" t="s">
        <v>161</v>
      </c>
      <c r="K80" s="4" t="s">
        <v>26</v>
      </c>
      <c r="L80" s="4" t="s">
        <v>114</v>
      </c>
      <c r="M80" s="4" t="s">
        <v>34</v>
      </c>
      <c r="N80" s="5">
        <v>9700</v>
      </c>
      <c r="O80" s="4" t="s">
        <v>46</v>
      </c>
      <c r="P80" s="4" t="s">
        <v>340</v>
      </c>
      <c r="Q80" s="3">
        <v>2</v>
      </c>
      <c r="R80" s="3">
        <v>4</v>
      </c>
      <c r="S80" s="3">
        <v>4</v>
      </c>
      <c r="T80" s="3">
        <v>4</v>
      </c>
      <c r="U80" s="4" t="s">
        <v>41</v>
      </c>
      <c r="V80" s="3" t="s">
        <v>341</v>
      </c>
    </row>
    <row r="81" spans="1:22">
      <c r="A81" s="3" t="s">
        <v>342</v>
      </c>
      <c r="B81" s="4" t="s">
        <v>23</v>
      </c>
      <c r="C81" s="3" t="s">
        <v>40</v>
      </c>
      <c r="D81" s="4" t="s">
        <v>41</v>
      </c>
      <c r="E81" s="4" t="s">
        <v>26</v>
      </c>
      <c r="F81" s="4" t="s">
        <v>57</v>
      </c>
      <c r="G81" s="3" t="s">
        <v>74</v>
      </c>
      <c r="H81" s="4" t="s">
        <v>29</v>
      </c>
      <c r="I81" s="3" t="s">
        <v>44</v>
      </c>
      <c r="J81" s="4" t="s">
        <v>52</v>
      </c>
      <c r="K81" s="4" t="s">
        <v>32</v>
      </c>
      <c r="L81" s="4" t="s">
        <v>33</v>
      </c>
      <c r="M81" s="4" t="s">
        <v>65</v>
      </c>
      <c r="N81" s="5">
        <v>67700</v>
      </c>
      <c r="O81" s="4" t="s">
        <v>180</v>
      </c>
      <c r="P81" s="4" t="s">
        <v>343</v>
      </c>
      <c r="Q81" s="3">
        <v>2</v>
      </c>
      <c r="R81" s="3">
        <v>4.3</v>
      </c>
      <c r="S81" s="3">
        <v>6</v>
      </c>
      <c r="T81" s="3">
        <v>4.3</v>
      </c>
      <c r="U81" s="4" t="s">
        <v>41</v>
      </c>
      <c r="V81" s="3" t="s">
        <v>344</v>
      </c>
    </row>
    <row r="82" spans="1:22">
      <c r="A82" s="3" t="s">
        <v>345</v>
      </c>
      <c r="B82" s="4" t="s">
        <v>23</v>
      </c>
      <c r="C82" s="3" t="s">
        <v>24</v>
      </c>
      <c r="D82" s="4" t="s">
        <v>37</v>
      </c>
      <c r="E82" s="4" t="s">
        <v>26</v>
      </c>
      <c r="F82" s="4" t="s">
        <v>57</v>
      </c>
      <c r="G82" s="3" t="s">
        <v>87</v>
      </c>
      <c r="H82" s="4" t="s">
        <v>75</v>
      </c>
      <c r="I82" s="3" t="s">
        <v>51</v>
      </c>
      <c r="J82" s="4" t="s">
        <v>31</v>
      </c>
      <c r="K82" s="4" t="s">
        <v>32</v>
      </c>
      <c r="L82" s="4" t="s">
        <v>33</v>
      </c>
      <c r="M82" s="4" t="s">
        <v>34</v>
      </c>
      <c r="N82" s="5">
        <v>90200</v>
      </c>
      <c r="O82" s="4" t="s">
        <v>46</v>
      </c>
      <c r="P82" s="4" t="s">
        <v>346</v>
      </c>
      <c r="Q82" s="3">
        <v>2</v>
      </c>
      <c r="R82" s="3">
        <v>3.3</v>
      </c>
      <c r="S82" s="3">
        <v>3</v>
      </c>
      <c r="T82" s="3">
        <v>5</v>
      </c>
      <c r="U82" s="4" t="s">
        <v>37</v>
      </c>
      <c r="V82" s="3" t="s">
        <v>347</v>
      </c>
    </row>
    <row r="83" spans="1:22">
      <c r="A83" s="3" t="s">
        <v>348</v>
      </c>
      <c r="B83" s="4" t="s">
        <v>23</v>
      </c>
      <c r="C83" s="3" t="s">
        <v>24</v>
      </c>
      <c r="D83" s="4" t="s">
        <v>37</v>
      </c>
      <c r="E83" s="4" t="s">
        <v>26</v>
      </c>
      <c r="F83" s="4" t="s">
        <v>73</v>
      </c>
      <c r="G83" s="3" t="s">
        <v>28</v>
      </c>
      <c r="H83" s="4" t="s">
        <v>29</v>
      </c>
      <c r="I83" s="3" t="s">
        <v>44</v>
      </c>
      <c r="J83" s="4" t="s">
        <v>31</v>
      </c>
      <c r="K83" s="4" t="s">
        <v>32</v>
      </c>
      <c r="L83" s="4" t="s">
        <v>106</v>
      </c>
      <c r="M83" s="4" t="s">
        <v>144</v>
      </c>
      <c r="N83" s="5">
        <v>20000</v>
      </c>
      <c r="O83" s="4" t="s">
        <v>61</v>
      </c>
      <c r="P83" s="4" t="s">
        <v>145</v>
      </c>
      <c r="Q83" s="3">
        <v>2</v>
      </c>
      <c r="R83" s="3">
        <v>3.5</v>
      </c>
      <c r="S83" s="3">
        <v>2</v>
      </c>
      <c r="T83" s="3">
        <v>3</v>
      </c>
      <c r="U83" s="4" t="s">
        <v>37</v>
      </c>
      <c r="V83" s="3" t="s">
        <v>349</v>
      </c>
    </row>
    <row r="84" spans="1:22">
      <c r="A84" s="3" t="s">
        <v>350</v>
      </c>
      <c r="B84" s="4" t="s">
        <v>69</v>
      </c>
      <c r="C84" s="3" t="s">
        <v>105</v>
      </c>
      <c r="D84" s="4" t="s">
        <v>41</v>
      </c>
      <c r="E84" s="4" t="s">
        <v>26</v>
      </c>
      <c r="F84" s="4" t="s">
        <v>136</v>
      </c>
      <c r="G84" s="3" t="s">
        <v>28</v>
      </c>
      <c r="H84" s="4" t="s">
        <v>75</v>
      </c>
      <c r="I84" s="3" t="s">
        <v>30</v>
      </c>
      <c r="J84" s="4" t="s">
        <v>52</v>
      </c>
      <c r="K84" s="4" t="s">
        <v>32</v>
      </c>
      <c r="L84" s="4" t="s">
        <v>114</v>
      </c>
      <c r="M84" s="4" t="s">
        <v>245</v>
      </c>
      <c r="N84" s="5">
        <v>33100</v>
      </c>
      <c r="O84" s="4" t="s">
        <v>46</v>
      </c>
      <c r="P84" s="4" t="s">
        <v>351</v>
      </c>
      <c r="Q84" s="3">
        <v>2</v>
      </c>
      <c r="R84" s="3">
        <v>4.5999999999999996</v>
      </c>
      <c r="S84" s="3">
        <v>5</v>
      </c>
      <c r="T84" s="3">
        <v>4.8</v>
      </c>
      <c r="U84" s="4" t="s">
        <v>26</v>
      </c>
      <c r="V84" s="3" t="s">
        <v>352</v>
      </c>
    </row>
    <row r="85" spans="1:22">
      <c r="A85" s="3" t="s">
        <v>353</v>
      </c>
      <c r="B85" s="4" t="s">
        <v>69</v>
      </c>
      <c r="C85" s="3" t="s">
        <v>24</v>
      </c>
      <c r="D85" s="4" t="s">
        <v>229</v>
      </c>
      <c r="E85" s="4" t="s">
        <v>86</v>
      </c>
      <c r="F85" s="4" t="s">
        <v>126</v>
      </c>
      <c r="G85" s="3" t="s">
        <v>74</v>
      </c>
      <c r="H85" s="4" t="s">
        <v>29</v>
      </c>
      <c r="I85" s="3" t="s">
        <v>30</v>
      </c>
      <c r="J85" s="4" t="s">
        <v>26</v>
      </c>
      <c r="K85" s="4" t="s">
        <v>32</v>
      </c>
      <c r="L85" s="4" t="s">
        <v>33</v>
      </c>
      <c r="M85" s="4" t="s">
        <v>34</v>
      </c>
      <c r="N85" s="5">
        <v>215900</v>
      </c>
      <c r="O85" s="4" t="s">
        <v>35</v>
      </c>
      <c r="P85" s="4" t="s">
        <v>354</v>
      </c>
      <c r="Q85" s="3">
        <v>4</v>
      </c>
      <c r="R85" s="3">
        <v>4.3</v>
      </c>
      <c r="S85" s="3">
        <v>9</v>
      </c>
      <c r="T85" s="3">
        <v>4.5</v>
      </c>
      <c r="U85" s="4" t="s">
        <v>229</v>
      </c>
      <c r="V85" s="3" t="s">
        <v>355</v>
      </c>
    </row>
    <row r="86" spans="1:22">
      <c r="A86" s="3" t="s">
        <v>356</v>
      </c>
      <c r="B86" s="4" t="s">
        <v>69</v>
      </c>
      <c r="C86" s="3" t="s">
        <v>40</v>
      </c>
      <c r="D86" s="4" t="s">
        <v>41</v>
      </c>
      <c r="E86" s="4" t="s">
        <v>26</v>
      </c>
      <c r="F86" s="4" t="s">
        <v>126</v>
      </c>
      <c r="G86" s="3" t="s">
        <v>87</v>
      </c>
      <c r="H86" s="4" t="s">
        <v>29</v>
      </c>
      <c r="I86" s="3" t="s">
        <v>51</v>
      </c>
      <c r="J86" s="4" t="s">
        <v>45</v>
      </c>
      <c r="K86" s="4" t="s">
        <v>32</v>
      </c>
      <c r="L86" s="4" t="s">
        <v>114</v>
      </c>
      <c r="M86" s="4" t="s">
        <v>34</v>
      </c>
      <c r="N86" s="5">
        <v>67600</v>
      </c>
      <c r="O86" s="4" t="s">
        <v>46</v>
      </c>
      <c r="P86" s="4" t="s">
        <v>357</v>
      </c>
      <c r="Q86" s="3">
        <v>2</v>
      </c>
      <c r="R86" s="3">
        <v>5</v>
      </c>
      <c r="S86" s="3">
        <v>5</v>
      </c>
      <c r="T86" s="3">
        <v>5</v>
      </c>
      <c r="U86" s="4" t="s">
        <v>37</v>
      </c>
      <c r="V86" s="3" t="s">
        <v>358</v>
      </c>
    </row>
    <row r="87" spans="1:22">
      <c r="A87" s="3" t="s">
        <v>359</v>
      </c>
      <c r="B87" s="4" t="s">
        <v>23</v>
      </c>
      <c r="C87" s="3" t="s">
        <v>40</v>
      </c>
      <c r="D87" s="4" t="s">
        <v>41</v>
      </c>
      <c r="E87" s="4" t="s">
        <v>26</v>
      </c>
      <c r="F87" s="4" t="s">
        <v>57</v>
      </c>
      <c r="G87" s="3" t="s">
        <v>50</v>
      </c>
      <c r="H87" s="4" t="s">
        <v>29</v>
      </c>
      <c r="I87" s="3" t="s">
        <v>44</v>
      </c>
      <c r="J87" s="4" t="s">
        <v>52</v>
      </c>
      <c r="K87" s="4" t="s">
        <v>32</v>
      </c>
      <c r="L87" s="4" t="s">
        <v>33</v>
      </c>
      <c r="M87" s="4" t="s">
        <v>34</v>
      </c>
      <c r="N87" s="5">
        <v>67000</v>
      </c>
      <c r="O87" s="4" t="s">
        <v>35</v>
      </c>
      <c r="P87" s="3" t="s">
        <v>360</v>
      </c>
      <c r="Q87" s="3">
        <v>2</v>
      </c>
      <c r="R87" s="3">
        <v>4.5</v>
      </c>
      <c r="S87" s="3">
        <v>2</v>
      </c>
      <c r="T87" s="3">
        <v>4.5</v>
      </c>
      <c r="U87" s="4" t="s">
        <v>41</v>
      </c>
      <c r="V87" s="3" t="s">
        <v>361</v>
      </c>
    </row>
    <row r="88" spans="1:22">
      <c r="A88" s="3" t="s">
        <v>362</v>
      </c>
      <c r="B88" s="4" t="s">
        <v>69</v>
      </c>
      <c r="C88" s="3" t="s">
        <v>24</v>
      </c>
      <c r="D88" s="4" t="s">
        <v>41</v>
      </c>
      <c r="E88" s="4" t="s">
        <v>26</v>
      </c>
      <c r="F88" s="4" t="s">
        <v>57</v>
      </c>
      <c r="G88" s="3" t="s">
        <v>291</v>
      </c>
      <c r="H88" s="4" t="s">
        <v>29</v>
      </c>
      <c r="I88" s="3" t="s">
        <v>44</v>
      </c>
      <c r="J88" s="4" t="s">
        <v>31</v>
      </c>
      <c r="K88" s="4" t="s">
        <v>32</v>
      </c>
      <c r="L88" s="4" t="s">
        <v>33</v>
      </c>
      <c r="M88" s="4" t="s">
        <v>34</v>
      </c>
      <c r="N88" s="5">
        <v>88000</v>
      </c>
      <c r="O88" s="4" t="s">
        <v>35</v>
      </c>
      <c r="P88" s="4" t="s">
        <v>363</v>
      </c>
      <c r="Q88" s="3">
        <v>2</v>
      </c>
      <c r="R88" s="3">
        <v>5</v>
      </c>
      <c r="S88" s="3">
        <v>1</v>
      </c>
      <c r="T88" s="3">
        <v>5</v>
      </c>
      <c r="U88" s="4" t="s">
        <v>26</v>
      </c>
      <c r="V88" s="3" t="s">
        <v>364</v>
      </c>
    </row>
    <row r="89" spans="1:22">
      <c r="A89" s="3" t="s">
        <v>365</v>
      </c>
      <c r="B89" s="4" t="s">
        <v>69</v>
      </c>
      <c r="C89" s="3" t="s">
        <v>40</v>
      </c>
      <c r="D89" s="4" t="s">
        <v>118</v>
      </c>
      <c r="E89" s="4" t="s">
        <v>86</v>
      </c>
      <c r="F89" s="4" t="s">
        <v>27</v>
      </c>
      <c r="G89" s="3" t="s">
        <v>28</v>
      </c>
      <c r="H89" s="4" t="s">
        <v>29</v>
      </c>
      <c r="I89" s="3" t="s">
        <v>44</v>
      </c>
      <c r="J89" s="4" t="s">
        <v>26</v>
      </c>
      <c r="K89" s="4" t="s">
        <v>32</v>
      </c>
      <c r="L89" s="4" t="s">
        <v>33</v>
      </c>
      <c r="M89" s="4" t="s">
        <v>34</v>
      </c>
      <c r="N89" s="5">
        <v>1031250</v>
      </c>
      <c r="O89" s="4" t="s">
        <v>46</v>
      </c>
      <c r="P89" s="4" t="s">
        <v>259</v>
      </c>
      <c r="Q89" s="3">
        <v>4</v>
      </c>
      <c r="R89" s="3">
        <v>4.8</v>
      </c>
      <c r="S89" s="3">
        <v>13</v>
      </c>
      <c r="T89" s="3">
        <v>4.9000000000000004</v>
      </c>
      <c r="U89" s="4" t="s">
        <v>26</v>
      </c>
      <c r="V89" s="3" t="s">
        <v>366</v>
      </c>
    </row>
    <row r="90" spans="1:22">
      <c r="A90" s="3" t="s">
        <v>367</v>
      </c>
      <c r="B90" s="4" t="s">
        <v>69</v>
      </c>
      <c r="C90" s="3" t="s">
        <v>24</v>
      </c>
      <c r="D90" s="4" t="s">
        <v>41</v>
      </c>
      <c r="E90" s="4" t="s">
        <v>216</v>
      </c>
      <c r="F90" s="4" t="s">
        <v>73</v>
      </c>
      <c r="G90" s="3" t="s">
        <v>58</v>
      </c>
      <c r="H90" s="4" t="s">
        <v>29</v>
      </c>
      <c r="I90" s="3" t="s">
        <v>59</v>
      </c>
      <c r="J90" s="4" t="s">
        <v>31</v>
      </c>
      <c r="K90" s="4" t="s">
        <v>32</v>
      </c>
      <c r="L90" s="4" t="s">
        <v>60</v>
      </c>
      <c r="M90" s="4" t="s">
        <v>151</v>
      </c>
      <c r="N90" s="5">
        <v>102790</v>
      </c>
      <c r="O90" s="4" t="s">
        <v>35</v>
      </c>
      <c r="P90" s="3" t="s">
        <v>368</v>
      </c>
      <c r="Q90" s="3">
        <v>3</v>
      </c>
      <c r="R90" s="3">
        <v>5</v>
      </c>
      <c r="S90" s="3">
        <v>2</v>
      </c>
      <c r="T90" s="3">
        <v>5</v>
      </c>
      <c r="U90" s="4" t="s">
        <v>26</v>
      </c>
      <c r="V90" s="3" t="s">
        <v>369</v>
      </c>
    </row>
    <row r="91" spans="1:22">
      <c r="A91" s="3" t="s">
        <v>370</v>
      </c>
      <c r="B91" s="4" t="s">
        <v>23</v>
      </c>
      <c r="C91" s="3" t="s">
        <v>105</v>
      </c>
      <c r="D91" s="4" t="s">
        <v>37</v>
      </c>
      <c r="E91" s="4" t="s">
        <v>26</v>
      </c>
      <c r="F91" s="4" t="s">
        <v>57</v>
      </c>
      <c r="G91" s="3" t="s">
        <v>28</v>
      </c>
      <c r="H91" s="4" t="s">
        <v>29</v>
      </c>
      <c r="I91" s="3" t="s">
        <v>59</v>
      </c>
      <c r="J91" s="4" t="s">
        <v>52</v>
      </c>
      <c r="K91" s="4" t="s">
        <v>32</v>
      </c>
      <c r="L91" s="4" t="s">
        <v>60</v>
      </c>
      <c r="M91" s="4" t="s">
        <v>144</v>
      </c>
      <c r="N91" s="5">
        <v>57350</v>
      </c>
      <c r="O91" s="4" t="s">
        <v>180</v>
      </c>
      <c r="P91" s="4" t="s">
        <v>371</v>
      </c>
      <c r="Q91" s="3">
        <v>2</v>
      </c>
      <c r="R91" s="3">
        <v>3.5</v>
      </c>
      <c r="S91" s="3">
        <v>2</v>
      </c>
      <c r="T91" s="3">
        <v>3.5</v>
      </c>
      <c r="U91" s="4" t="s">
        <v>41</v>
      </c>
      <c r="V91" s="3" t="s">
        <v>372</v>
      </c>
    </row>
    <row r="92" spans="1:22">
      <c r="A92" s="3" t="s">
        <v>373</v>
      </c>
      <c r="B92" s="4" t="s">
        <v>23</v>
      </c>
      <c r="C92" s="3" t="s">
        <v>105</v>
      </c>
      <c r="D92" s="4" t="s">
        <v>374</v>
      </c>
      <c r="E92" s="4" t="s">
        <v>86</v>
      </c>
      <c r="F92" s="4" t="s">
        <v>226</v>
      </c>
      <c r="G92" s="3" t="s">
        <v>58</v>
      </c>
      <c r="H92" s="4" t="s">
        <v>75</v>
      </c>
      <c r="I92" s="3" t="s">
        <v>44</v>
      </c>
      <c r="J92" s="4" t="s">
        <v>31</v>
      </c>
      <c r="K92" s="4" t="s">
        <v>32</v>
      </c>
      <c r="L92" s="4" t="s">
        <v>33</v>
      </c>
      <c r="M92" s="4" t="s">
        <v>34</v>
      </c>
      <c r="N92" s="5">
        <v>719850</v>
      </c>
      <c r="O92" s="4" t="s">
        <v>46</v>
      </c>
      <c r="P92" s="4" t="s">
        <v>375</v>
      </c>
      <c r="Q92" s="3">
        <v>3</v>
      </c>
      <c r="R92" s="3">
        <v>3.8</v>
      </c>
      <c r="S92" s="3">
        <v>7</v>
      </c>
      <c r="T92" s="3">
        <v>4.0999999999999996</v>
      </c>
      <c r="U92" s="4" t="s">
        <v>374</v>
      </c>
      <c r="V92" s="3" t="s">
        <v>376</v>
      </c>
    </row>
    <row r="93" spans="1:22">
      <c r="A93" s="3" t="s">
        <v>377</v>
      </c>
      <c r="B93" s="4" t="s">
        <v>23</v>
      </c>
      <c r="C93" s="3" t="s">
        <v>24</v>
      </c>
      <c r="D93" s="4" t="s">
        <v>41</v>
      </c>
      <c r="E93" s="4" t="s">
        <v>110</v>
      </c>
      <c r="F93" s="4" t="s">
        <v>100</v>
      </c>
      <c r="G93" s="3" t="s">
        <v>101</v>
      </c>
      <c r="H93" s="4" t="s">
        <v>29</v>
      </c>
      <c r="I93" s="3" t="s">
        <v>59</v>
      </c>
      <c r="J93" s="4" t="s">
        <v>52</v>
      </c>
      <c r="K93" s="4" t="s">
        <v>32</v>
      </c>
      <c r="L93" s="4" t="s">
        <v>114</v>
      </c>
      <c r="M93" s="4" t="s">
        <v>53</v>
      </c>
      <c r="N93" s="5">
        <v>330600</v>
      </c>
      <c r="O93" s="4" t="s">
        <v>35</v>
      </c>
      <c r="P93" s="4" t="s">
        <v>378</v>
      </c>
      <c r="Q93" s="3">
        <v>3</v>
      </c>
      <c r="R93" s="3">
        <v>3.8</v>
      </c>
      <c r="S93" s="3">
        <v>5</v>
      </c>
      <c r="T93" s="3">
        <v>4</v>
      </c>
      <c r="U93" s="4" t="s">
        <v>41</v>
      </c>
      <c r="V93" s="3" t="s">
        <v>379</v>
      </c>
    </row>
    <row r="94" spans="1:22">
      <c r="A94" s="3" t="s">
        <v>380</v>
      </c>
      <c r="B94" s="4" t="s">
        <v>23</v>
      </c>
      <c r="C94" s="3" t="s">
        <v>105</v>
      </c>
      <c r="D94" s="4" t="s">
        <v>37</v>
      </c>
      <c r="E94" s="4" t="s">
        <v>26</v>
      </c>
      <c r="F94" s="4" t="s">
        <v>27</v>
      </c>
      <c r="G94" s="3" t="s">
        <v>50</v>
      </c>
      <c r="H94" s="4" t="s">
        <v>81</v>
      </c>
      <c r="I94" s="3" t="s">
        <v>59</v>
      </c>
      <c r="J94" s="4" t="s">
        <v>52</v>
      </c>
      <c r="K94" s="4" t="s">
        <v>32</v>
      </c>
      <c r="L94" s="4" t="s">
        <v>114</v>
      </c>
      <c r="M94" s="4" t="s">
        <v>53</v>
      </c>
      <c r="N94" s="5">
        <v>12700</v>
      </c>
      <c r="O94" s="4" t="s">
        <v>46</v>
      </c>
      <c r="P94" s="4" t="s">
        <v>381</v>
      </c>
      <c r="Q94" s="3">
        <v>2</v>
      </c>
      <c r="R94" s="3">
        <v>4.0999999999999996</v>
      </c>
      <c r="S94" s="3">
        <v>18</v>
      </c>
      <c r="T94" s="3">
        <v>3.7</v>
      </c>
      <c r="U94" s="4" t="s">
        <v>37</v>
      </c>
      <c r="V94" s="3" t="s">
        <v>382</v>
      </c>
    </row>
    <row r="95" spans="1:22">
      <c r="A95" s="3" t="s">
        <v>383</v>
      </c>
      <c r="B95" s="4" t="s">
        <v>23</v>
      </c>
      <c r="C95" s="3" t="s">
        <v>24</v>
      </c>
      <c r="D95" s="4" t="s">
        <v>37</v>
      </c>
      <c r="E95" s="4" t="s">
        <v>26</v>
      </c>
      <c r="F95" s="4" t="s">
        <v>57</v>
      </c>
      <c r="G95" s="3" t="s">
        <v>28</v>
      </c>
      <c r="H95" s="4" t="s">
        <v>29</v>
      </c>
      <c r="I95" s="3" t="s">
        <v>51</v>
      </c>
      <c r="J95" s="4" t="s">
        <v>120</v>
      </c>
      <c r="K95" s="4" t="s">
        <v>32</v>
      </c>
      <c r="L95" s="4" t="s">
        <v>106</v>
      </c>
      <c r="M95" s="4" t="s">
        <v>81</v>
      </c>
      <c r="N95" s="5">
        <v>28600</v>
      </c>
      <c r="O95" s="4" t="s">
        <v>180</v>
      </c>
      <c r="P95" s="4" t="s">
        <v>384</v>
      </c>
      <c r="Q95" s="3">
        <v>2</v>
      </c>
      <c r="R95" s="3">
        <v>4.3</v>
      </c>
      <c r="S95" s="3">
        <v>3</v>
      </c>
      <c r="T95" s="3">
        <v>4.3</v>
      </c>
      <c r="U95" s="4" t="s">
        <v>41</v>
      </c>
      <c r="V95" s="3" t="s">
        <v>385</v>
      </c>
    </row>
    <row r="96" spans="1:22">
      <c r="A96" s="3" t="s">
        <v>386</v>
      </c>
      <c r="B96" s="4" t="s">
        <v>69</v>
      </c>
      <c r="C96" s="3" t="s">
        <v>24</v>
      </c>
      <c r="D96" s="4" t="s">
        <v>41</v>
      </c>
      <c r="E96" s="4" t="s">
        <v>26</v>
      </c>
      <c r="F96" s="4" t="s">
        <v>27</v>
      </c>
      <c r="G96" s="3" t="s">
        <v>101</v>
      </c>
      <c r="H96" s="4" t="s">
        <v>29</v>
      </c>
      <c r="I96" s="3" t="s">
        <v>30</v>
      </c>
      <c r="J96" s="4" t="s">
        <v>31</v>
      </c>
      <c r="K96" s="4" t="s">
        <v>32</v>
      </c>
      <c r="L96" s="4" t="s">
        <v>33</v>
      </c>
      <c r="M96" s="4" t="s">
        <v>34</v>
      </c>
      <c r="N96" s="5">
        <v>137300</v>
      </c>
      <c r="O96" s="4" t="s">
        <v>46</v>
      </c>
      <c r="P96" s="4" t="s">
        <v>220</v>
      </c>
      <c r="Q96" s="3">
        <v>2</v>
      </c>
      <c r="R96" s="3">
        <v>3.5</v>
      </c>
      <c r="S96" s="3">
        <v>4</v>
      </c>
      <c r="T96" s="3">
        <v>3.8</v>
      </c>
      <c r="U96" s="4" t="s">
        <v>26</v>
      </c>
      <c r="V96" s="3" t="s">
        <v>387</v>
      </c>
    </row>
    <row r="97" spans="1:22">
      <c r="A97" s="3" t="s">
        <v>388</v>
      </c>
      <c r="B97" s="4" t="s">
        <v>23</v>
      </c>
      <c r="C97" s="3" t="s">
        <v>40</v>
      </c>
      <c r="D97" s="4" t="s">
        <v>37</v>
      </c>
      <c r="E97" s="4" t="s">
        <v>26</v>
      </c>
      <c r="F97" s="4" t="s">
        <v>57</v>
      </c>
      <c r="G97" s="3" t="s">
        <v>28</v>
      </c>
      <c r="H97" s="4" t="s">
        <v>29</v>
      </c>
      <c r="I97" s="3" t="s">
        <v>59</v>
      </c>
      <c r="J97" s="4" t="s">
        <v>52</v>
      </c>
      <c r="K97" s="4" t="s">
        <v>32</v>
      </c>
      <c r="L97" s="4" t="s">
        <v>33</v>
      </c>
      <c r="M97" s="4" t="s">
        <v>34</v>
      </c>
      <c r="N97" s="5">
        <v>96400</v>
      </c>
      <c r="O97" s="4" t="s">
        <v>46</v>
      </c>
      <c r="P97" s="4" t="s">
        <v>389</v>
      </c>
      <c r="Q97" s="3">
        <v>2</v>
      </c>
      <c r="R97" s="3">
        <v>4</v>
      </c>
      <c r="S97" s="3">
        <v>5</v>
      </c>
      <c r="T97" s="3">
        <v>4.2</v>
      </c>
      <c r="U97" s="4" t="s">
        <v>37</v>
      </c>
      <c r="V97" s="3" t="s">
        <v>390</v>
      </c>
    </row>
    <row r="98" spans="1:22">
      <c r="A98" s="3" t="s">
        <v>391</v>
      </c>
      <c r="B98" s="4" t="s">
        <v>23</v>
      </c>
      <c r="C98" s="3" t="s">
        <v>24</v>
      </c>
      <c r="D98" s="4" t="s">
        <v>25</v>
      </c>
      <c r="E98" s="4" t="s">
        <v>26</v>
      </c>
      <c r="F98" s="4" t="s">
        <v>57</v>
      </c>
      <c r="G98" s="3" t="s">
        <v>43</v>
      </c>
      <c r="H98" s="4" t="s">
        <v>29</v>
      </c>
      <c r="I98" s="3" t="s">
        <v>59</v>
      </c>
      <c r="J98" s="4" t="s">
        <v>52</v>
      </c>
      <c r="K98" s="4" t="s">
        <v>32</v>
      </c>
      <c r="L98" s="4" t="s">
        <v>60</v>
      </c>
      <c r="M98" s="4" t="s">
        <v>174</v>
      </c>
      <c r="N98" s="5">
        <v>28550</v>
      </c>
      <c r="O98" s="4" t="s">
        <v>180</v>
      </c>
      <c r="P98" s="4" t="s">
        <v>392</v>
      </c>
      <c r="Q98" s="3">
        <v>2</v>
      </c>
      <c r="R98" s="3">
        <v>5</v>
      </c>
      <c r="S98" s="3">
        <v>5</v>
      </c>
      <c r="T98" s="3">
        <v>5</v>
      </c>
      <c r="U98" s="4" t="s">
        <v>25</v>
      </c>
      <c r="V98" s="3" t="s">
        <v>393</v>
      </c>
    </row>
    <row r="99" spans="1:22">
      <c r="A99" s="3" t="s">
        <v>394</v>
      </c>
      <c r="B99" s="4" t="s">
        <v>69</v>
      </c>
      <c r="C99" s="3" t="s">
        <v>24</v>
      </c>
      <c r="D99" s="4" t="s">
        <v>118</v>
      </c>
      <c r="E99" s="4" t="s">
        <v>119</v>
      </c>
      <c r="F99" s="4" t="s">
        <v>136</v>
      </c>
      <c r="G99" s="3" t="s">
        <v>170</v>
      </c>
      <c r="H99" s="4" t="s">
        <v>75</v>
      </c>
      <c r="I99" s="3" t="s">
        <v>51</v>
      </c>
      <c r="J99" s="4" t="s">
        <v>239</v>
      </c>
      <c r="K99" s="4" t="s">
        <v>32</v>
      </c>
      <c r="L99" s="4" t="s">
        <v>33</v>
      </c>
      <c r="M99" s="4" t="s">
        <v>132</v>
      </c>
      <c r="N99" s="5">
        <v>852800</v>
      </c>
      <c r="O99" s="4" t="s">
        <v>61</v>
      </c>
      <c r="P99" s="4" t="s">
        <v>395</v>
      </c>
      <c r="Q99" s="3">
        <v>4</v>
      </c>
      <c r="R99" s="3">
        <v>3.3</v>
      </c>
      <c r="S99" s="3">
        <v>10</v>
      </c>
      <c r="T99" s="3">
        <v>3.7</v>
      </c>
      <c r="U99" s="4" t="s">
        <v>41</v>
      </c>
      <c r="V99" s="3" t="s">
        <v>396</v>
      </c>
    </row>
    <row r="100" spans="1:22">
      <c r="A100" s="3" t="s">
        <v>397</v>
      </c>
      <c r="B100" s="4" t="s">
        <v>23</v>
      </c>
      <c r="C100" s="3" t="s">
        <v>105</v>
      </c>
      <c r="D100" s="4" t="s">
        <v>41</v>
      </c>
      <c r="E100" s="4" t="s">
        <v>26</v>
      </c>
      <c r="F100" s="4" t="s">
        <v>73</v>
      </c>
      <c r="G100" s="3" t="s">
        <v>28</v>
      </c>
      <c r="H100" s="4" t="s">
        <v>29</v>
      </c>
      <c r="I100" s="3" t="s">
        <v>44</v>
      </c>
      <c r="J100" s="4" t="s">
        <v>81</v>
      </c>
      <c r="K100" s="4" t="s">
        <v>198</v>
      </c>
      <c r="L100" s="4" t="s">
        <v>33</v>
      </c>
      <c r="M100" s="4" t="s">
        <v>81</v>
      </c>
      <c r="N100" s="5">
        <v>68000</v>
      </c>
      <c r="O100" s="4" t="s">
        <v>35</v>
      </c>
      <c r="P100" s="4" t="s">
        <v>268</v>
      </c>
      <c r="Q100" s="3">
        <v>2</v>
      </c>
      <c r="R100" s="3">
        <v>3</v>
      </c>
      <c r="S100" s="3">
        <v>2</v>
      </c>
      <c r="T100" s="3">
        <v>3</v>
      </c>
      <c r="U100" s="4" t="s">
        <v>41</v>
      </c>
      <c r="V100" s="3" t="s">
        <v>398</v>
      </c>
    </row>
    <row r="101" spans="1:22">
      <c r="A101" s="3" t="s">
        <v>399</v>
      </c>
      <c r="B101" s="4" t="s">
        <v>23</v>
      </c>
      <c r="C101" s="3" t="s">
        <v>40</v>
      </c>
      <c r="D101" s="4" t="s">
        <v>37</v>
      </c>
      <c r="E101" s="4" t="s">
        <v>26</v>
      </c>
      <c r="F101" s="4" t="s">
        <v>100</v>
      </c>
      <c r="G101" s="3" t="s">
        <v>400</v>
      </c>
      <c r="H101" s="4" t="s">
        <v>29</v>
      </c>
      <c r="I101" s="3" t="s">
        <v>51</v>
      </c>
      <c r="J101" s="4" t="s">
        <v>31</v>
      </c>
      <c r="K101" s="4" t="s">
        <v>32</v>
      </c>
      <c r="L101" s="4" t="s">
        <v>33</v>
      </c>
      <c r="M101" s="4" t="s">
        <v>34</v>
      </c>
      <c r="N101" s="5">
        <v>257400</v>
      </c>
      <c r="O101" s="4" t="s">
        <v>35</v>
      </c>
      <c r="P101" s="4" t="s">
        <v>220</v>
      </c>
      <c r="Q101" s="3">
        <v>4</v>
      </c>
      <c r="R101" s="3">
        <v>5</v>
      </c>
      <c r="S101" s="3">
        <v>7</v>
      </c>
      <c r="T101" s="3">
        <v>5</v>
      </c>
      <c r="U101" s="4" t="s">
        <v>125</v>
      </c>
      <c r="V101" s="3" t="s">
        <v>401</v>
      </c>
    </row>
  </sheetData>
  <autoFilter ref="A1:V101" xr:uid="{00000000-0009-0000-0000-000000000000}"/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A0411-2395-4ABC-B7A3-A2444F2640DC}">
  <dimension ref="A1:V6"/>
  <sheetViews>
    <sheetView tabSelected="1" workbookViewId="0">
      <selection activeCell="C6" sqref="C6"/>
    </sheetView>
  </sheetViews>
  <sheetFormatPr defaultRowHeight="14.4"/>
  <cols>
    <col min="1" max="1" width="8.44140625" bestFit="1" customWidth="1"/>
    <col min="2" max="2" width="5.33203125" bestFit="1" customWidth="1"/>
    <col min="3" max="3" width="5.44140625" bestFit="1" customWidth="1"/>
    <col min="4" max="4" width="9.109375" bestFit="1" customWidth="1"/>
    <col min="5" max="5" width="11.6640625" bestFit="1" customWidth="1"/>
    <col min="6" max="6" width="29.6640625" bestFit="1" customWidth="1"/>
    <col min="7" max="7" width="16" bestFit="1" customWidth="1"/>
    <col min="10" max="10" width="21.21875" bestFit="1" customWidth="1"/>
    <col min="11" max="11" width="11.6640625" bestFit="1" customWidth="1"/>
    <col min="12" max="12" width="8.44140625" bestFit="1" customWidth="1"/>
    <col min="13" max="13" width="26.5546875" bestFit="1" customWidth="1"/>
    <col min="14" max="14" width="10" bestFit="1" customWidth="1"/>
    <col min="15" max="15" width="26.77734375" bestFit="1" customWidth="1"/>
    <col min="16" max="16" width="54.77734375" bestFit="1" customWidth="1"/>
    <col min="21" max="21" width="9.109375" bestFit="1" customWidth="1"/>
    <col min="22" max="22" width="10.5546875" bestFit="1" customWidth="1"/>
  </cols>
  <sheetData>
    <row r="1" spans="1:22" ht="5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</row>
    <row r="2" spans="1:22">
      <c r="A2" s="3" t="s">
        <v>318</v>
      </c>
      <c r="B2" s="4" t="s">
        <v>23</v>
      </c>
      <c r="C2" s="3" t="s">
        <v>40</v>
      </c>
      <c r="D2" s="4" t="s">
        <v>37</v>
      </c>
      <c r="E2" s="4" t="s">
        <v>86</v>
      </c>
      <c r="F2" s="4" t="s">
        <v>126</v>
      </c>
      <c r="G2" s="3" t="s">
        <v>130</v>
      </c>
      <c r="H2" s="4" t="s">
        <v>29</v>
      </c>
      <c r="I2" s="3" t="s">
        <v>30</v>
      </c>
      <c r="J2" s="4" t="s">
        <v>120</v>
      </c>
      <c r="K2" s="4" t="s">
        <v>32</v>
      </c>
      <c r="L2" s="4" t="s">
        <v>33</v>
      </c>
      <c r="M2" s="4" t="s">
        <v>34</v>
      </c>
      <c r="N2" s="5">
        <v>388140</v>
      </c>
      <c r="O2" s="4" t="s">
        <v>46</v>
      </c>
      <c r="P2" s="4" t="s">
        <v>319</v>
      </c>
      <c r="Q2" s="3">
        <v>3</v>
      </c>
      <c r="R2" s="3">
        <v>4</v>
      </c>
      <c r="S2" s="3">
        <v>10</v>
      </c>
      <c r="T2" s="3">
        <v>3.8</v>
      </c>
      <c r="U2" s="4" t="s">
        <v>37</v>
      </c>
      <c r="V2" s="3" t="s">
        <v>320</v>
      </c>
    </row>
    <row r="3" spans="1:22">
      <c r="A3" s="3" t="s">
        <v>91</v>
      </c>
      <c r="B3" s="4" t="s">
        <v>69</v>
      </c>
      <c r="C3" s="3" t="s">
        <v>40</v>
      </c>
      <c r="D3" s="4" t="s">
        <v>92</v>
      </c>
      <c r="E3" s="4" t="s">
        <v>93</v>
      </c>
      <c r="F3" s="4" t="s">
        <v>27</v>
      </c>
      <c r="G3" s="3" t="s">
        <v>58</v>
      </c>
      <c r="H3" s="4" t="s">
        <v>29</v>
      </c>
      <c r="I3" s="3" t="s">
        <v>59</v>
      </c>
      <c r="J3" s="4" t="s">
        <v>31</v>
      </c>
      <c r="K3" s="4" t="s">
        <v>32</v>
      </c>
      <c r="L3" s="4" t="s">
        <v>33</v>
      </c>
      <c r="M3" s="4" t="s">
        <v>65</v>
      </c>
      <c r="N3" s="5">
        <v>270000</v>
      </c>
      <c r="O3" s="4" t="s">
        <v>35</v>
      </c>
      <c r="P3" s="4" t="s">
        <v>54</v>
      </c>
      <c r="Q3" s="3">
        <v>3</v>
      </c>
      <c r="R3" s="3">
        <v>3.5</v>
      </c>
      <c r="S3" s="3">
        <v>5</v>
      </c>
      <c r="T3" s="3">
        <v>3.8</v>
      </c>
      <c r="U3" s="4" t="s">
        <v>92</v>
      </c>
      <c r="V3" s="3" t="s">
        <v>94</v>
      </c>
    </row>
    <row r="4" spans="1:22">
      <c r="A4" s="3" t="s">
        <v>399</v>
      </c>
      <c r="B4" s="4" t="s">
        <v>23</v>
      </c>
      <c r="C4" s="3" t="s">
        <v>40</v>
      </c>
      <c r="D4" s="4" t="s">
        <v>37</v>
      </c>
      <c r="E4" s="4" t="s">
        <v>26</v>
      </c>
      <c r="F4" s="4" t="s">
        <v>100</v>
      </c>
      <c r="G4" s="3" t="s">
        <v>400</v>
      </c>
      <c r="H4" s="4" t="s">
        <v>29</v>
      </c>
      <c r="I4" s="3" t="s">
        <v>51</v>
      </c>
      <c r="J4" s="4" t="s">
        <v>31</v>
      </c>
      <c r="K4" s="4" t="s">
        <v>32</v>
      </c>
      <c r="L4" s="4" t="s">
        <v>33</v>
      </c>
      <c r="M4" s="4" t="s">
        <v>34</v>
      </c>
      <c r="N4" s="5">
        <v>257400</v>
      </c>
      <c r="O4" s="4" t="s">
        <v>35</v>
      </c>
      <c r="P4" s="4" t="s">
        <v>220</v>
      </c>
      <c r="Q4" s="3">
        <v>4</v>
      </c>
      <c r="R4" s="3">
        <v>5</v>
      </c>
      <c r="S4" s="3">
        <v>7</v>
      </c>
      <c r="T4" s="3">
        <v>5</v>
      </c>
      <c r="U4" s="4" t="s">
        <v>125</v>
      </c>
      <c r="V4" s="3" t="s">
        <v>401</v>
      </c>
    </row>
    <row r="5" spans="1:22">
      <c r="A5" s="3" t="s">
        <v>251</v>
      </c>
      <c r="B5" s="4" t="s">
        <v>69</v>
      </c>
      <c r="C5" s="3" t="s">
        <v>40</v>
      </c>
      <c r="D5" s="4" t="s">
        <v>37</v>
      </c>
      <c r="E5" s="4" t="s">
        <v>26</v>
      </c>
      <c r="F5" s="4" t="s">
        <v>42</v>
      </c>
      <c r="G5" s="3" t="s">
        <v>184</v>
      </c>
      <c r="H5" s="4" t="s">
        <v>29</v>
      </c>
      <c r="I5" s="3" t="s">
        <v>252</v>
      </c>
      <c r="J5" s="4" t="s">
        <v>45</v>
      </c>
      <c r="K5" s="4" t="s">
        <v>32</v>
      </c>
      <c r="L5" s="4" t="s">
        <v>33</v>
      </c>
      <c r="M5" s="4" t="s">
        <v>65</v>
      </c>
      <c r="N5" s="5">
        <v>102200</v>
      </c>
      <c r="O5" s="4" t="s">
        <v>46</v>
      </c>
      <c r="P5" s="4" t="s">
        <v>253</v>
      </c>
      <c r="Q5" s="3">
        <v>2</v>
      </c>
      <c r="R5" s="3">
        <v>4.5999999999999996</v>
      </c>
      <c r="S5" s="3">
        <v>8</v>
      </c>
      <c r="T5" s="3">
        <v>4.5999999999999996</v>
      </c>
      <c r="U5" s="4" t="s">
        <v>26</v>
      </c>
      <c r="V5" s="3" t="s">
        <v>254</v>
      </c>
    </row>
    <row r="6" spans="1:22">
      <c r="A6" s="3" t="s">
        <v>80</v>
      </c>
      <c r="B6" s="4" t="s">
        <v>69</v>
      </c>
      <c r="C6" s="3" t="s">
        <v>24</v>
      </c>
      <c r="D6" s="4" t="s">
        <v>37</v>
      </c>
      <c r="E6" s="4" t="s">
        <v>81</v>
      </c>
      <c r="F6" s="4" t="s">
        <v>57</v>
      </c>
      <c r="G6" s="3" t="s">
        <v>43</v>
      </c>
      <c r="H6" s="4" t="s">
        <v>75</v>
      </c>
      <c r="I6" s="3" t="s">
        <v>51</v>
      </c>
      <c r="J6" s="4" t="s">
        <v>52</v>
      </c>
      <c r="K6" s="4" t="s">
        <v>32</v>
      </c>
      <c r="L6" s="4" t="s">
        <v>33</v>
      </c>
      <c r="M6" s="4" t="s">
        <v>34</v>
      </c>
      <c r="N6" s="5">
        <v>278086</v>
      </c>
      <c r="O6" s="4" t="s">
        <v>35</v>
      </c>
      <c r="P6" s="4" t="s">
        <v>82</v>
      </c>
      <c r="Q6" s="3">
        <v>3</v>
      </c>
      <c r="R6" s="3">
        <v>4.9000000000000004</v>
      </c>
      <c r="S6" s="3">
        <v>8</v>
      </c>
      <c r="T6" s="3">
        <v>5</v>
      </c>
      <c r="U6" s="4" t="s">
        <v>37</v>
      </c>
      <c r="V6" s="3" t="s">
        <v>83</v>
      </c>
    </row>
  </sheetData>
  <phoneticPr fontId="1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9"/>
  <sheetViews>
    <sheetView topLeftCell="A57" zoomScaleNormal="100" workbookViewId="0"/>
  </sheetViews>
  <sheetFormatPr defaultColWidth="8.6640625" defaultRowHeight="14.4"/>
  <cols>
    <col min="1" max="1" width="38" customWidth="1"/>
    <col min="2" max="2" width="14" customWidth="1"/>
    <col min="3" max="3" width="10" customWidth="1"/>
  </cols>
  <sheetData>
    <row r="1" spans="1:3" ht="15.6">
      <c r="A1" s="6" t="s">
        <v>402</v>
      </c>
    </row>
    <row r="2" spans="1:3">
      <c r="A2" s="7" t="s">
        <v>403</v>
      </c>
    </row>
    <row r="4" spans="1:3">
      <c r="A4" s="8" t="s">
        <v>404</v>
      </c>
    </row>
    <row r="5" spans="1:3">
      <c r="A5" s="9" t="s">
        <v>405</v>
      </c>
      <c r="B5" s="9" t="s">
        <v>406</v>
      </c>
      <c r="C5" s="9" t="s">
        <v>407</v>
      </c>
    </row>
    <row r="6" spans="1:3">
      <c r="A6" s="10" t="s">
        <v>24</v>
      </c>
      <c r="B6" s="10">
        <f>COUNTIF(페르소나_100!$C$2:$C$101,"30대")</f>
        <v>39</v>
      </c>
      <c r="C6" s="11">
        <f>B6/100</f>
        <v>0.39</v>
      </c>
    </row>
    <row r="7" spans="1:3">
      <c r="A7" s="10" t="s">
        <v>40</v>
      </c>
      <c r="B7" s="10">
        <f>COUNTIF(페르소나_100!$C$2:$C$101,"20대")</f>
        <v>35</v>
      </c>
      <c r="C7" s="11">
        <f>B7/100</f>
        <v>0.35</v>
      </c>
    </row>
    <row r="8" spans="1:3">
      <c r="A8" s="10" t="s">
        <v>105</v>
      </c>
      <c r="B8" s="10">
        <f>COUNTIF(페르소나_100!$C$2:$C$101,"40대")</f>
        <v>17</v>
      </c>
      <c r="C8" s="11">
        <f>B8/100</f>
        <v>0.17</v>
      </c>
    </row>
    <row r="9" spans="1:3">
      <c r="A9" s="10" t="s">
        <v>70</v>
      </c>
      <c r="B9" s="10">
        <f>COUNTIF(페르소나_100!$C$2:$C$101,"50대")</f>
        <v>6</v>
      </c>
      <c r="C9" s="11">
        <f>B9/100</f>
        <v>0.06</v>
      </c>
    </row>
    <row r="10" spans="1:3">
      <c r="A10" s="10" t="s">
        <v>168</v>
      </c>
      <c r="B10" s="10">
        <f>COUNTIF(페르소나_100!$C$2:$C$101,"60대")</f>
        <v>3</v>
      </c>
      <c r="C10" s="11">
        <f>B10/100</f>
        <v>0.03</v>
      </c>
    </row>
    <row r="12" spans="1:3">
      <c r="A12" s="8" t="s">
        <v>408</v>
      </c>
    </row>
    <row r="13" spans="1:3">
      <c r="A13" s="9" t="s">
        <v>405</v>
      </c>
      <c r="B13" s="9" t="s">
        <v>406</v>
      </c>
      <c r="C13" s="9" t="s">
        <v>407</v>
      </c>
    </row>
    <row r="14" spans="1:3">
      <c r="A14" s="12" t="s">
        <v>41</v>
      </c>
      <c r="B14" s="10">
        <f>COUNTIF(페르소나_100!$D$2:$D$101,"서울특별시")</f>
        <v>41</v>
      </c>
      <c r="C14" s="11">
        <f t="shared" ref="C14:C26" si="0">B14/100</f>
        <v>0.41</v>
      </c>
    </row>
    <row r="15" spans="1:3">
      <c r="A15" s="12" t="s">
        <v>37</v>
      </c>
      <c r="B15" s="10">
        <f>COUNTIF(페르소나_100!$D$2:$D$101,"경기도")</f>
        <v>31</v>
      </c>
      <c r="C15" s="11">
        <f t="shared" si="0"/>
        <v>0.31</v>
      </c>
    </row>
    <row r="16" spans="1:3">
      <c r="A16" s="12" t="s">
        <v>25</v>
      </c>
      <c r="B16" s="10">
        <f>COUNTIF(페르소나_100!$D$2:$D$101,"인천광역시")</f>
        <v>6</v>
      </c>
      <c r="C16" s="11">
        <f t="shared" si="0"/>
        <v>0.06</v>
      </c>
    </row>
    <row r="17" spans="1:3">
      <c r="A17" s="12" t="s">
        <v>118</v>
      </c>
      <c r="B17" s="10">
        <f>COUNTIF(페르소나_100!$D$2:$D$101,"경상남도")</f>
        <v>4</v>
      </c>
      <c r="C17" s="11">
        <f t="shared" si="0"/>
        <v>0.04</v>
      </c>
    </row>
    <row r="18" spans="1:3">
      <c r="A18" s="12" t="s">
        <v>85</v>
      </c>
      <c r="B18" s="10">
        <f>COUNTIF(페르소나_100!$D$2:$D$101,"대구광역시")</f>
        <v>3</v>
      </c>
      <c r="C18" s="11">
        <f t="shared" si="0"/>
        <v>0.03</v>
      </c>
    </row>
    <row r="19" spans="1:3">
      <c r="A19" s="12" t="s">
        <v>209</v>
      </c>
      <c r="B19" s="10">
        <f>COUNTIF(페르소나_100!$D$2:$D$101,"강원도")</f>
        <v>3</v>
      </c>
      <c r="C19" s="11">
        <f t="shared" si="0"/>
        <v>0.03</v>
      </c>
    </row>
    <row r="20" spans="1:3">
      <c r="A20" s="12" t="s">
        <v>71</v>
      </c>
      <c r="B20" s="10">
        <f>COUNTIF(페르소나_100!$D$2:$D$101,"제주특별자치도")</f>
        <v>2</v>
      </c>
      <c r="C20" s="11">
        <f t="shared" si="0"/>
        <v>0.02</v>
      </c>
    </row>
    <row r="21" spans="1:3">
      <c r="A21" s="12" t="s">
        <v>92</v>
      </c>
      <c r="B21" s="10">
        <f>COUNTIF(페르소나_100!$D$2:$D$101,"충청남도")</f>
        <v>2</v>
      </c>
      <c r="C21" s="11">
        <f t="shared" si="0"/>
        <v>0.02</v>
      </c>
    </row>
    <row r="22" spans="1:3">
      <c r="A22" s="12" t="s">
        <v>125</v>
      </c>
      <c r="B22" s="10">
        <f>COUNTIF(페르소나_100!$D$2:$D$101,"충청북도")</f>
        <v>2</v>
      </c>
      <c r="C22" s="11">
        <f t="shared" si="0"/>
        <v>0.02</v>
      </c>
    </row>
    <row r="23" spans="1:3">
      <c r="A23" s="12" t="s">
        <v>148</v>
      </c>
      <c r="B23" s="10">
        <f>COUNTIF(페르소나_100!$D$2:$D$101,"대전광역시")</f>
        <v>2</v>
      </c>
      <c r="C23" s="11">
        <f t="shared" si="0"/>
        <v>0.02</v>
      </c>
    </row>
    <row r="24" spans="1:3">
      <c r="A24" s="12" t="s">
        <v>229</v>
      </c>
      <c r="B24" s="10">
        <f>COUNTIF(페르소나_100!$D$2:$D$101,"전라남도")</f>
        <v>2</v>
      </c>
      <c r="C24" s="11">
        <f t="shared" si="0"/>
        <v>0.02</v>
      </c>
    </row>
    <row r="25" spans="1:3">
      <c r="A25" s="12" t="s">
        <v>307</v>
      </c>
      <c r="B25" s="10">
        <f>COUNTIF(페르소나_100!$D$2:$D$101,"울산광역시")</f>
        <v>1</v>
      </c>
      <c r="C25" s="11">
        <f t="shared" si="0"/>
        <v>0.01</v>
      </c>
    </row>
    <row r="26" spans="1:3">
      <c r="A26" s="12" t="s">
        <v>374</v>
      </c>
      <c r="B26" s="10">
        <f>COUNTIF(페르소나_100!$D$2:$D$101,"경상북도")</f>
        <v>1</v>
      </c>
      <c r="C26" s="11">
        <f t="shared" si="0"/>
        <v>0.01</v>
      </c>
    </row>
    <row r="28" spans="1:3">
      <c r="A28" s="8" t="s">
        <v>409</v>
      </c>
    </row>
    <row r="29" spans="1:3">
      <c r="A29" s="9" t="s">
        <v>405</v>
      </c>
      <c r="B29" s="9" t="s">
        <v>406</v>
      </c>
      <c r="C29" s="9" t="s">
        <v>407</v>
      </c>
    </row>
    <row r="30" spans="1:3">
      <c r="A30" s="12" t="s">
        <v>26</v>
      </c>
      <c r="B30" s="10">
        <f>COUNTIF(페르소나_100!$E$2:$E$101,"데이터 없음")</f>
        <v>61</v>
      </c>
      <c r="C30" s="11">
        <f t="shared" ref="C30:C40" si="1">B30/100</f>
        <v>0.61</v>
      </c>
    </row>
    <row r="31" spans="1:3">
      <c r="A31" s="12" t="s">
        <v>86</v>
      </c>
      <c r="B31" s="10">
        <f>COUNTIF(페르소나_100!$E$2:$E$101,"호텔")</f>
        <v>15</v>
      </c>
      <c r="C31" s="11">
        <f t="shared" si="1"/>
        <v>0.15</v>
      </c>
    </row>
    <row r="32" spans="1:3">
      <c r="A32" s="12" t="s">
        <v>93</v>
      </c>
      <c r="B32" s="10">
        <f>COUNTIF(페르소나_100!$E$2:$E$101,"펜션")</f>
        <v>6</v>
      </c>
      <c r="C32" s="11">
        <f t="shared" si="1"/>
        <v>0.06</v>
      </c>
    </row>
    <row r="33" spans="1:3">
      <c r="A33" s="12" t="s">
        <v>96</v>
      </c>
      <c r="B33" s="10">
        <f>COUNTIF(페르소나_100!$E$2:$E$101,"모텔/여관")</f>
        <v>4</v>
      </c>
      <c r="C33" s="11">
        <f t="shared" si="1"/>
        <v>0.04</v>
      </c>
    </row>
    <row r="34" spans="1:3">
      <c r="A34" s="12" t="s">
        <v>216</v>
      </c>
      <c r="B34" s="10">
        <f>COUNTIF(페르소나_100!$E$2:$E$101,"야영(캠핑,글램핑등)")</f>
        <v>4</v>
      </c>
      <c r="C34" s="11">
        <f t="shared" si="1"/>
        <v>0.04</v>
      </c>
    </row>
    <row r="35" spans="1:3">
      <c r="A35" s="12" t="s">
        <v>110</v>
      </c>
      <c r="B35" s="10">
        <f>COUNTIF(페르소나_100!$E$2:$E$101,"콘도미니엄/리조트")</f>
        <v>3</v>
      </c>
      <c r="C35" s="11">
        <f t="shared" si="1"/>
        <v>0.03</v>
      </c>
    </row>
    <row r="36" spans="1:3">
      <c r="A36" s="12" t="s">
        <v>119</v>
      </c>
      <c r="B36" s="10">
        <f>COUNTIF(페르소나_100!$E$2:$E$101,"게스트하우스")</f>
        <v>3</v>
      </c>
      <c r="C36" s="11">
        <f t="shared" si="1"/>
        <v>0.03</v>
      </c>
    </row>
    <row r="37" spans="1:3">
      <c r="A37" s="12" t="s">
        <v>72</v>
      </c>
      <c r="B37" s="10">
        <f>COUNTIF(페르소나_100!$E$2:$E$101,"가족/친지집")</f>
        <v>1</v>
      </c>
      <c r="C37" s="11">
        <f t="shared" si="1"/>
        <v>0.01</v>
      </c>
    </row>
    <row r="38" spans="1:3">
      <c r="A38" s="12" t="s">
        <v>81</v>
      </c>
      <c r="B38" s="10">
        <f>COUNTIF(페르소나_100!$E$2:$E$101,"기타")</f>
        <v>1</v>
      </c>
      <c r="C38" s="11">
        <f t="shared" si="1"/>
        <v>0.01</v>
      </c>
    </row>
    <row r="39" spans="1:3">
      <c r="A39" s="12" t="s">
        <v>169</v>
      </c>
      <c r="B39" s="10">
        <f>COUNTIF(페르소나_100!$E$2:$E$101,"자연휴양림내 시설")</f>
        <v>1</v>
      </c>
      <c r="C39" s="11">
        <f t="shared" si="1"/>
        <v>0.01</v>
      </c>
    </row>
    <row r="40" spans="1:3">
      <c r="A40" s="12" t="s">
        <v>225</v>
      </c>
      <c r="B40" s="10">
        <f>COUNTIF(페르소나_100!$E$2:$E$101,"무박 여행")</f>
        <v>1</v>
      </c>
      <c r="C40" s="11">
        <f t="shared" si="1"/>
        <v>0.01</v>
      </c>
    </row>
    <row r="42" spans="1:3">
      <c r="A42" s="8" t="s">
        <v>9</v>
      </c>
    </row>
    <row r="43" spans="1:3">
      <c r="A43" s="9" t="s">
        <v>405</v>
      </c>
      <c r="B43" s="9" t="s">
        <v>406</v>
      </c>
      <c r="C43" s="9" t="s">
        <v>407</v>
      </c>
    </row>
    <row r="44" spans="1:3">
      <c r="A44" s="12" t="s">
        <v>52</v>
      </c>
      <c r="B44" s="10">
        <f>COUNTIF(페르소나_100!$J$2:$J$101,"사무 종사자")</f>
        <v>31</v>
      </c>
      <c r="C44" s="11">
        <f t="shared" ref="C44:C55" si="2">B44/100</f>
        <v>0.31</v>
      </c>
    </row>
    <row r="45" spans="1:3">
      <c r="A45" s="12" t="s">
        <v>31</v>
      </c>
      <c r="B45" s="10">
        <f>COUNTIF(페르소나_100!$J$2:$J$101,"전문가 및 관련 종사자")</f>
        <v>28</v>
      </c>
      <c r="C45" s="11">
        <f t="shared" si="2"/>
        <v>0.28000000000000003</v>
      </c>
    </row>
    <row r="46" spans="1:3">
      <c r="A46" s="12" t="s">
        <v>161</v>
      </c>
      <c r="B46" s="10">
        <f>COUNTIF(페르소나_100!$J$2:$J$101,"전업주부")</f>
        <v>8</v>
      </c>
      <c r="C46" s="11">
        <f t="shared" si="2"/>
        <v>0.08</v>
      </c>
    </row>
    <row r="47" spans="1:3">
      <c r="A47" s="12" t="s">
        <v>45</v>
      </c>
      <c r="B47" s="10">
        <f>COUNTIF(페르소나_100!$J$2:$J$101,"학생")</f>
        <v>7</v>
      </c>
      <c r="C47" s="11">
        <f t="shared" si="2"/>
        <v>7.0000000000000007E-2</v>
      </c>
    </row>
    <row r="48" spans="1:3">
      <c r="A48" s="12" t="s">
        <v>76</v>
      </c>
      <c r="B48" s="10">
        <f>COUNTIF(페르소나_100!$J$2:$J$101,"서비스 종사자")</f>
        <v>6</v>
      </c>
      <c r="C48" s="11">
        <f t="shared" si="2"/>
        <v>0.06</v>
      </c>
    </row>
    <row r="49" spans="1:3">
      <c r="A49" s="12" t="s">
        <v>81</v>
      </c>
      <c r="B49" s="10">
        <f>COUNTIF(페르소나_100!$J$2:$J$101,"기타")</f>
        <v>6</v>
      </c>
      <c r="C49" s="11">
        <f t="shared" si="2"/>
        <v>0.06</v>
      </c>
    </row>
    <row r="50" spans="1:3">
      <c r="A50" s="12" t="s">
        <v>26</v>
      </c>
      <c r="B50" s="10">
        <f>COUNTIF(페르소나_100!$J$2:$J$101,"데이터 없음")</f>
        <v>5</v>
      </c>
      <c r="C50" s="11">
        <f t="shared" si="2"/>
        <v>0.05</v>
      </c>
    </row>
    <row r="51" spans="1:3">
      <c r="A51" s="12" t="s">
        <v>120</v>
      </c>
      <c r="B51" s="10">
        <f>COUNTIF(페르소나_100!$J$2:$J$101,"판매 종사자")</f>
        <v>3</v>
      </c>
      <c r="C51" s="11">
        <f t="shared" si="2"/>
        <v>0.03</v>
      </c>
    </row>
    <row r="52" spans="1:3">
      <c r="A52" s="12" t="s">
        <v>239</v>
      </c>
      <c r="B52" s="10">
        <f>COUNTIF(페르소나_100!$J$2:$J$101,"기능원 및 관련 기능 종사자")</f>
        <v>3</v>
      </c>
      <c r="C52" s="11">
        <f t="shared" si="2"/>
        <v>0.03</v>
      </c>
    </row>
    <row r="53" spans="1:3">
      <c r="A53" s="12" t="s">
        <v>131</v>
      </c>
      <c r="B53" s="10">
        <f>COUNTIF(페르소나_100!$J$2:$J$101,"관리자")</f>
        <v>1</v>
      </c>
      <c r="C53" s="11">
        <f t="shared" si="2"/>
        <v>0.01</v>
      </c>
    </row>
    <row r="54" spans="1:3">
      <c r="A54" s="12" t="s">
        <v>178</v>
      </c>
      <c r="B54" s="10">
        <f>COUNTIF(페르소나_100!$J$2:$J$101,"농림어업 숙련 종사자")</f>
        <v>1</v>
      </c>
      <c r="C54" s="11">
        <f t="shared" si="2"/>
        <v>0.01</v>
      </c>
    </row>
    <row r="55" spans="1:3">
      <c r="A55" s="12" t="s">
        <v>205</v>
      </c>
      <c r="B55" s="10">
        <f>COUNTIF(페르소나_100!$J$2:$J$101,"단순노무종사자")</f>
        <v>1</v>
      </c>
      <c r="C55" s="11">
        <f t="shared" si="2"/>
        <v>0.01</v>
      </c>
    </row>
    <row r="57" spans="1:3">
      <c r="A57" s="8" t="s">
        <v>410</v>
      </c>
    </row>
    <row r="58" spans="1:3">
      <c r="A58" s="9" t="s">
        <v>405</v>
      </c>
      <c r="B58" s="9" t="s">
        <v>406</v>
      </c>
      <c r="C58" s="9" t="s">
        <v>407</v>
      </c>
    </row>
    <row r="59" spans="1:3">
      <c r="A59" s="12" t="s">
        <v>34</v>
      </c>
      <c r="B59" s="10">
        <f>COUNTIF(페르소나_100!$M$2:$M$101,"식당/카페")</f>
        <v>53</v>
      </c>
      <c r="C59" s="11">
        <f t="shared" ref="C59:C70" si="3">B59/100</f>
        <v>0.53</v>
      </c>
    </row>
    <row r="60" spans="1:3">
      <c r="A60" s="12" t="s">
        <v>65</v>
      </c>
      <c r="B60" s="10">
        <f>COUNTIF(페르소나_100!$M$2:$M$101,"역, 터미널, 고속도로 휴게소")</f>
        <v>13</v>
      </c>
      <c r="C60" s="11">
        <f t="shared" si="3"/>
        <v>0.13</v>
      </c>
    </row>
    <row r="61" spans="1:3">
      <c r="A61" s="12" t="s">
        <v>53</v>
      </c>
      <c r="B61" s="10">
        <f>COUNTIF(페르소나_100!$M$2:$M$101,"자연관광지")</f>
        <v>7</v>
      </c>
      <c r="C61" s="11">
        <f t="shared" si="3"/>
        <v>7.0000000000000007E-2</v>
      </c>
    </row>
    <row r="62" spans="1:3">
      <c r="A62" s="12" t="s">
        <v>132</v>
      </c>
      <c r="B62" s="10">
        <f>COUNTIF(페르소나_100!$M$2:$M$101,"상업지구(거리, 시장, 쇼핑시설)")</f>
        <v>6</v>
      </c>
      <c r="C62" s="11">
        <f t="shared" si="3"/>
        <v>0.06</v>
      </c>
    </row>
    <row r="63" spans="1:3">
      <c r="A63" s="12" t="s">
        <v>174</v>
      </c>
      <c r="B63" s="10">
        <f>COUNTIF(페르소나_100!$M$2:$M$101,"역사/유적/종교 시설(문화재, 박물관, 촬영지, 절 등)")</f>
        <v>6</v>
      </c>
      <c r="C63" s="11">
        <f t="shared" si="3"/>
        <v>0.06</v>
      </c>
    </row>
    <row r="64" spans="1:3">
      <c r="A64" s="12" t="s">
        <v>144</v>
      </c>
      <c r="B64" s="10">
        <f>COUNTIF(페르소나_100!$M$2:$M$101,"문화 시설(공연장, 영화관, 전시관 등)")</f>
        <v>4</v>
      </c>
      <c r="C64" s="11">
        <f t="shared" si="3"/>
        <v>0.04</v>
      </c>
    </row>
    <row r="65" spans="1:3">
      <c r="A65" s="12" t="s">
        <v>245</v>
      </c>
      <c r="B65" s="10">
        <f>COUNTIF(페르소나_100!$M$2:$M$101,"산책로, 둘레길 등")</f>
        <v>3</v>
      </c>
      <c r="C65" s="11">
        <f t="shared" si="3"/>
        <v>0.03</v>
      </c>
    </row>
    <row r="66" spans="1:3">
      <c r="A66" s="12" t="s">
        <v>151</v>
      </c>
      <c r="B66" s="10">
        <f>COUNTIF(페르소나_100!$M$2:$M$101,"상점")</f>
        <v>2</v>
      </c>
      <c r="C66" s="11">
        <f t="shared" si="3"/>
        <v>0.02</v>
      </c>
    </row>
    <row r="67" spans="1:3">
      <c r="A67" s="12" t="s">
        <v>191</v>
      </c>
      <c r="B67" s="10">
        <f>COUNTIF(페르소나_100!$M$2:$M$101,"테마시설(놀이공원, 워터파크)")</f>
        <v>2</v>
      </c>
      <c r="C67" s="11">
        <f t="shared" si="3"/>
        <v>0.02</v>
      </c>
    </row>
    <row r="68" spans="1:3">
      <c r="A68" s="12" t="s">
        <v>81</v>
      </c>
      <c r="B68" s="10">
        <f>COUNTIF(페르소나_100!$M$2:$M$101,"기타")</f>
        <v>2</v>
      </c>
      <c r="C68" s="11">
        <f t="shared" si="3"/>
        <v>0.02</v>
      </c>
    </row>
    <row r="69" spans="1:3">
      <c r="A69" s="12" t="s">
        <v>179</v>
      </c>
      <c r="B69" s="10">
        <f>COUNTIF(페르소나_100!$M$2:$M$101,"체험 활동 관광지")</f>
        <v>1</v>
      </c>
      <c r="C69" s="11">
        <f t="shared" si="3"/>
        <v>0.01</v>
      </c>
    </row>
    <row r="70" spans="1:3">
      <c r="A70" s="12" t="s">
        <v>230</v>
      </c>
      <c r="B70" s="10">
        <f>COUNTIF(페르소나_100!$M$2:$M$101,"지역 축제/행사")</f>
        <v>1</v>
      </c>
      <c r="C70" s="11">
        <f t="shared" si="3"/>
        <v>0.01</v>
      </c>
    </row>
    <row r="72" spans="1:3">
      <c r="A72" s="8" t="s">
        <v>411</v>
      </c>
    </row>
    <row r="73" spans="1:3">
      <c r="A73" s="9" t="s">
        <v>405</v>
      </c>
      <c r="B73" s="9" t="s">
        <v>406</v>
      </c>
      <c r="C73" s="9" t="s">
        <v>407</v>
      </c>
    </row>
    <row r="74" spans="1:3">
      <c r="A74" s="12" t="s">
        <v>33</v>
      </c>
      <c r="B74" s="10">
        <f>COUNTIF(페르소나_100!$L$2:$L$101,"취식")</f>
        <v>61</v>
      </c>
      <c r="C74" s="11">
        <f t="shared" ref="C74:C79" si="4">B74/100</f>
        <v>0.61</v>
      </c>
    </row>
    <row r="75" spans="1:3">
      <c r="A75" s="12" t="s">
        <v>114</v>
      </c>
      <c r="B75" s="10">
        <f>COUNTIF(페르소나_100!$L$2:$L$101,"단순 구경 / 산책 / 걷기")</f>
        <v>16</v>
      </c>
      <c r="C75" s="11">
        <f t="shared" si="4"/>
        <v>0.16</v>
      </c>
    </row>
    <row r="76" spans="1:3">
      <c r="A76" s="12" t="s">
        <v>106</v>
      </c>
      <c r="B76" s="10">
        <f>COUNTIF(페르소나_100!$L$2:$L$101,"체험 활동 / 입장 및 관람")</f>
        <v>9</v>
      </c>
      <c r="C76" s="11">
        <f t="shared" si="4"/>
        <v>0.09</v>
      </c>
    </row>
    <row r="77" spans="1:3">
      <c r="A77" s="12" t="s">
        <v>60</v>
      </c>
      <c r="B77" s="10">
        <f>COUNTIF(페르소나_100!$L$2:$L$101,"쇼핑 / 구매")</f>
        <v>7</v>
      </c>
      <c r="C77" s="11">
        <f t="shared" si="4"/>
        <v>7.0000000000000007E-2</v>
      </c>
    </row>
    <row r="78" spans="1:3">
      <c r="A78" s="12" t="s">
        <v>88</v>
      </c>
      <c r="B78" s="10">
        <f>COUNTIF(페르소나_100!$L$2:$L$101,"휴식")</f>
        <v>5</v>
      </c>
      <c r="C78" s="11">
        <f t="shared" si="4"/>
        <v>0.05</v>
      </c>
    </row>
    <row r="79" spans="1:3">
      <c r="A79" s="12" t="s">
        <v>77</v>
      </c>
      <c r="B79" s="10">
        <f>COUNTIF(페르소나_100!$L$2:$L$101,"기타 활동")</f>
        <v>2</v>
      </c>
      <c r="C79" s="11">
        <f t="shared" si="4"/>
        <v>0.02</v>
      </c>
    </row>
    <row r="81" spans="1:3">
      <c r="A81" s="8" t="s">
        <v>14</v>
      </c>
    </row>
    <row r="82" spans="1:3">
      <c r="A82" s="9" t="s">
        <v>405</v>
      </c>
      <c r="B82" s="9" t="s">
        <v>406</v>
      </c>
      <c r="C82" s="9" t="s">
        <v>407</v>
      </c>
    </row>
    <row r="83" spans="1:3">
      <c r="A83" s="12" t="s">
        <v>35</v>
      </c>
      <c r="B83" s="10">
        <f>COUNTIF(페르소나_100!$O$2:$O$101,"자가용(승용/승합/트럭 등등)")</f>
        <v>47</v>
      </c>
      <c r="C83" s="11">
        <f t="shared" ref="C83:C88" si="5">B83/100</f>
        <v>0.47</v>
      </c>
    </row>
    <row r="84" spans="1:3">
      <c r="A84" s="12" t="s">
        <v>46</v>
      </c>
      <c r="B84" s="10">
        <f>COUNTIF(페르소나_100!$O$2:$O$101,"도보")</f>
        <v>31</v>
      </c>
      <c r="C84" s="11">
        <f t="shared" si="5"/>
        <v>0.31</v>
      </c>
    </row>
    <row r="85" spans="1:3">
      <c r="A85" s="12" t="s">
        <v>61</v>
      </c>
      <c r="B85" s="10">
        <f>COUNTIF(페르소나_100!$O$2:$O$101,"지하철")</f>
        <v>12</v>
      </c>
      <c r="C85" s="11">
        <f t="shared" si="5"/>
        <v>0.12</v>
      </c>
    </row>
    <row r="86" spans="1:3">
      <c r="A86" s="12" t="s">
        <v>180</v>
      </c>
      <c r="B86" s="10">
        <f>COUNTIF(페르소나_100!$O$2:$O$101,"시내/마을버스")</f>
        <v>8</v>
      </c>
      <c r="C86" s="11">
        <f t="shared" si="5"/>
        <v>0.08</v>
      </c>
    </row>
    <row r="87" spans="1:3">
      <c r="A87" s="12" t="s">
        <v>121</v>
      </c>
      <c r="B87" s="10">
        <f>COUNTIF(페르소나_100!$O$2:$O$101,"시외/고속버스")</f>
        <v>1</v>
      </c>
      <c r="C87" s="11">
        <f t="shared" si="5"/>
        <v>0.01</v>
      </c>
    </row>
    <row r="88" spans="1:3">
      <c r="A88" s="12" t="s">
        <v>240</v>
      </c>
      <c r="B88" s="10">
        <f>COUNTIF(페르소나_100!$O$2:$O$101,"자전거")</f>
        <v>1</v>
      </c>
      <c r="C88" s="11">
        <f t="shared" si="5"/>
        <v>0.01</v>
      </c>
    </row>
    <row r="90" spans="1:3">
      <c r="A90" s="8" t="s">
        <v>10</v>
      </c>
    </row>
    <row r="91" spans="1:3">
      <c r="A91" s="9" t="s">
        <v>405</v>
      </c>
      <c r="B91" s="9" t="s">
        <v>406</v>
      </c>
      <c r="C91" s="9" t="s">
        <v>407</v>
      </c>
    </row>
    <row r="92" spans="1:3">
      <c r="A92" s="12" t="s">
        <v>32</v>
      </c>
      <c r="B92" s="10">
        <f>COUNTIF(페르소나_100!$K$2:$K$101,"카드 일시불")</f>
        <v>91</v>
      </c>
      <c r="C92" s="11">
        <f>B92/100</f>
        <v>0.91</v>
      </c>
    </row>
    <row r="93" spans="1:3">
      <c r="A93" s="12" t="s">
        <v>26</v>
      </c>
      <c r="B93" s="10">
        <f>COUNTIF(페르소나_100!$K$2:$K$101,"데이터 없음")</f>
        <v>4</v>
      </c>
      <c r="C93" s="11">
        <f>B93/100</f>
        <v>0.04</v>
      </c>
    </row>
    <row r="94" spans="1:3">
      <c r="A94" s="12" t="s">
        <v>198</v>
      </c>
      <c r="B94" s="10">
        <f>COUNTIF(페르소나_100!$K$2:$K$101,"현금")</f>
        <v>4</v>
      </c>
      <c r="C94" s="11">
        <f>B94/100</f>
        <v>0.04</v>
      </c>
    </row>
    <row r="95" spans="1:3">
      <c r="A95" s="12" t="s">
        <v>143</v>
      </c>
      <c r="B95" s="10">
        <f>COUNTIF(페르소나_100!$K$2:$K$101,"계좌이체")</f>
        <v>1</v>
      </c>
      <c r="C95" s="11">
        <f>B95/100</f>
        <v>0.01</v>
      </c>
    </row>
    <row r="97" spans="1:3">
      <c r="A97" s="8" t="s">
        <v>412</v>
      </c>
    </row>
    <row r="98" spans="1:3">
      <c r="A98" s="9" t="s">
        <v>405</v>
      </c>
      <c r="B98" s="9" t="s">
        <v>406</v>
      </c>
      <c r="C98" s="9" t="s">
        <v>407</v>
      </c>
    </row>
    <row r="99" spans="1:3">
      <c r="A99" s="12" t="s">
        <v>29</v>
      </c>
      <c r="B99" s="10">
        <f>COUNTIF(페르소나_100!$H$2:$H$101,"미혼")</f>
        <v>65</v>
      </c>
      <c r="C99" s="11">
        <f>B99/100</f>
        <v>0.65</v>
      </c>
    </row>
    <row r="100" spans="1:3">
      <c r="A100" s="12" t="s">
        <v>75</v>
      </c>
      <c r="B100" s="10">
        <f>COUNTIF(페르소나_100!$H$2:$H$101,"기혼")</f>
        <v>34</v>
      </c>
      <c r="C100" s="11">
        <f>B100/100</f>
        <v>0.34</v>
      </c>
    </row>
    <row r="101" spans="1:3">
      <c r="A101" s="12" t="s">
        <v>81</v>
      </c>
      <c r="B101" s="10">
        <f>COUNTIF(페르소나_100!$H$2:$H$101,"기타")</f>
        <v>1</v>
      </c>
      <c r="C101" s="11">
        <f>B101/100</f>
        <v>0.01</v>
      </c>
    </row>
    <row r="103" spans="1:3">
      <c r="A103" s="8" t="s">
        <v>413</v>
      </c>
    </row>
    <row r="104" spans="1:3">
      <c r="A104" s="10" t="s">
        <v>414</v>
      </c>
      <c r="B104" s="13">
        <f>AVERAGE(페르소나_100!N2:N101)</f>
        <v>196843.6</v>
      </c>
    </row>
    <row r="105" spans="1:3">
      <c r="A105" s="10" t="s">
        <v>415</v>
      </c>
      <c r="B105" s="13">
        <f>MEDIAN(페르소나_100!N2:N101)</f>
        <v>122500</v>
      </c>
    </row>
    <row r="106" spans="1:3">
      <c r="A106" s="12" t="s">
        <v>416</v>
      </c>
      <c r="B106" s="14">
        <f>AVERAGE(페르소나_100!Q2:Q101)</f>
        <v>2.56</v>
      </c>
    </row>
    <row r="107" spans="1:3">
      <c r="A107" s="12" t="s">
        <v>417</v>
      </c>
      <c r="B107" s="15">
        <f>AVERAGE(페르소나_100!S2:S101)</f>
        <v>5.18</v>
      </c>
    </row>
    <row r="108" spans="1:3">
      <c r="A108" s="12" t="s">
        <v>418</v>
      </c>
      <c r="B108" s="16">
        <f>AVERAGE(페르소나_100!R2:R101)</f>
        <v>4.0730000000000022</v>
      </c>
    </row>
    <row r="109" spans="1:3">
      <c r="A109" s="12" t="s">
        <v>419</v>
      </c>
      <c r="B109" s="16">
        <f>AVERAGE(페르소나_100!T2:T101)</f>
        <v>4.1820000000000004</v>
      </c>
    </row>
  </sheetData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4"/>
  <sheetViews>
    <sheetView zoomScaleNormal="100" workbookViewId="0"/>
  </sheetViews>
  <sheetFormatPr defaultColWidth="8.6640625" defaultRowHeight="14.4"/>
  <cols>
    <col min="1" max="1" width="110" customWidth="1"/>
  </cols>
  <sheetData>
    <row r="1" spans="1:1" ht="15.6">
      <c r="A1" s="6" t="s">
        <v>420</v>
      </c>
    </row>
    <row r="2" spans="1:1">
      <c r="A2" s="7" t="s">
        <v>421</v>
      </c>
    </row>
    <row r="3" spans="1:1">
      <c r="A3" s="17"/>
    </row>
    <row r="4" spans="1:1">
      <c r="A4" s="18" t="s">
        <v>422</v>
      </c>
    </row>
    <row r="5" spans="1:1">
      <c r="A5" s="19" t="s">
        <v>423</v>
      </c>
    </row>
    <row r="6" spans="1:1">
      <c r="A6" s="17" t="s">
        <v>424</v>
      </c>
    </row>
    <row r="7" spans="1:1">
      <c r="A7" s="19" t="s">
        <v>425</v>
      </c>
    </row>
    <row r="8" spans="1:1">
      <c r="A8" s="19" t="s">
        <v>426</v>
      </c>
    </row>
    <row r="9" spans="1:1">
      <c r="A9" s="17"/>
    </row>
    <row r="10" spans="1:1">
      <c r="A10" s="18" t="s">
        <v>427</v>
      </c>
    </row>
    <row r="11" spans="1:1">
      <c r="A11" s="19" t="s">
        <v>428</v>
      </c>
    </row>
    <row r="12" spans="1:1">
      <c r="A12" s="19" t="s">
        <v>429</v>
      </c>
    </row>
    <row r="13" spans="1:1">
      <c r="A13" s="19" t="s">
        <v>430</v>
      </c>
    </row>
    <row r="14" spans="1:1">
      <c r="A14" s="17"/>
    </row>
    <row r="15" spans="1:1">
      <c r="A15" s="19" t="s">
        <v>431</v>
      </c>
    </row>
    <row r="16" spans="1:1">
      <c r="A16" s="17" t="s">
        <v>432</v>
      </c>
    </row>
    <row r="17" spans="1:1">
      <c r="A17" s="19" t="s">
        <v>433</v>
      </c>
    </row>
    <row r="18" spans="1:1">
      <c r="A18" s="17"/>
    </row>
    <row r="19" spans="1:1">
      <c r="A19" s="18" t="s">
        <v>434</v>
      </c>
    </row>
    <row r="20" spans="1:1">
      <c r="A20" s="19" t="s">
        <v>435</v>
      </c>
    </row>
    <row r="21" spans="1:1">
      <c r="A21" s="19" t="s">
        <v>436</v>
      </c>
    </row>
    <row r="22" spans="1:1">
      <c r="A22" s="19" t="s">
        <v>437</v>
      </c>
    </row>
    <row r="23" spans="1:1">
      <c r="A23" s="19" t="s">
        <v>438</v>
      </c>
    </row>
    <row r="24" spans="1:1">
      <c r="A24" s="19" t="s">
        <v>439</v>
      </c>
    </row>
    <row r="25" spans="1:1">
      <c r="A25" s="19" t="s">
        <v>440</v>
      </c>
    </row>
    <row r="26" spans="1:1">
      <c r="A26" s="19" t="s">
        <v>441</v>
      </c>
    </row>
    <row r="27" spans="1:1">
      <c r="A27" s="19" t="s">
        <v>442</v>
      </c>
    </row>
    <row r="28" spans="1:1">
      <c r="A28" s="17" t="s">
        <v>443</v>
      </c>
    </row>
    <row r="29" spans="1:1">
      <c r="A29" s="19" t="s">
        <v>444</v>
      </c>
    </row>
    <row r="30" spans="1:1">
      <c r="A30" s="19" t="s">
        <v>445</v>
      </c>
    </row>
    <row r="31" spans="1:1">
      <c r="A31" s="19" t="s">
        <v>446</v>
      </c>
    </row>
    <row r="32" spans="1:1">
      <c r="A32" s="19" t="s">
        <v>447</v>
      </c>
    </row>
    <row r="33" spans="1:1">
      <c r="A33" s="19" t="s">
        <v>448</v>
      </c>
    </row>
    <row r="34" spans="1:1">
      <c r="A34" s="17"/>
    </row>
    <row r="35" spans="1:1">
      <c r="A35" s="18" t="s">
        <v>449</v>
      </c>
    </row>
    <row r="36" spans="1:1">
      <c r="A36" s="19" t="s">
        <v>450</v>
      </c>
    </row>
    <row r="37" spans="1:1">
      <c r="A37" s="19" t="s">
        <v>451</v>
      </c>
    </row>
    <row r="38" spans="1:1">
      <c r="A38" s="19" t="s">
        <v>452</v>
      </c>
    </row>
    <row r="39" spans="1:1">
      <c r="A39" s="19" t="s">
        <v>453</v>
      </c>
    </row>
    <row r="40" spans="1:1">
      <c r="A40" s="17"/>
    </row>
    <row r="41" spans="1:1">
      <c r="A41" s="18" t="s">
        <v>454</v>
      </c>
    </row>
    <row r="42" spans="1:1">
      <c r="A42" s="17" t="s">
        <v>455</v>
      </c>
    </row>
    <row r="43" spans="1:1">
      <c r="A43" s="19" t="s">
        <v>456</v>
      </c>
    </row>
    <row r="44" spans="1:1">
      <c r="A44" s="17" t="s">
        <v>457</v>
      </c>
    </row>
    <row r="45" spans="1:1">
      <c r="A45" s="19" t="s">
        <v>458</v>
      </c>
    </row>
    <row r="46" spans="1:1">
      <c r="A46" s="17" t="s">
        <v>459</v>
      </c>
    </row>
    <row r="47" spans="1:1">
      <c r="A47" s="17" t="s">
        <v>460</v>
      </c>
    </row>
    <row r="48" spans="1:1">
      <c r="A48" s="17" t="s">
        <v>461</v>
      </c>
    </row>
    <row r="49" spans="1:1">
      <c r="A49" s="17" t="s">
        <v>462</v>
      </c>
    </row>
    <row r="50" spans="1:1">
      <c r="A50" s="17"/>
    </row>
    <row r="51" spans="1:1">
      <c r="A51" s="18" t="s">
        <v>463</v>
      </c>
    </row>
    <row r="52" spans="1:1">
      <c r="A52" s="19" t="s">
        <v>464</v>
      </c>
    </row>
    <row r="53" spans="1:1">
      <c r="A53" s="19" t="s">
        <v>465</v>
      </c>
    </row>
    <row r="54" spans="1:1">
      <c r="A54" s="19" t="s">
        <v>466</v>
      </c>
    </row>
  </sheetData>
  <phoneticPr fontId="14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페르소나_100</vt:lpstr>
      <vt:lpstr>Sheet1</vt:lpstr>
      <vt:lpstr>요약_분포</vt:lpstr>
      <vt:lpstr>생성방법_한계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jeong tae choi</cp:lastModifiedBy>
  <cp:revision>0</cp:revision>
  <dcterms:created xsi:type="dcterms:W3CDTF">2026-07-31T08:19:59Z</dcterms:created>
  <dcterms:modified xsi:type="dcterms:W3CDTF">2026-07-31T08:30:13Z</dcterms:modified>
  <dc:language>en-US</dc:language>
</cp:coreProperties>
</file>